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0ffc25cce7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Аудит проекта" sheetId="1" r:id="R2c7a99b8699045b1"/>
    <x:sheet xmlns:r="http://schemas.openxmlformats.org/officeDocument/2006/relationships" name="Классы плотности" sheetId="2" r:id="R5d7a220524fc4270"/>
    <x:sheet xmlns:r="http://schemas.openxmlformats.org/officeDocument/2006/relationships" name="Коэффициенты" sheetId="3" r:id="R0e0270324c8c4c4b"/>
    <x:sheet xmlns:r="http://schemas.openxmlformats.org/officeDocument/2006/relationships" name="Иберия" sheetId="4" r:id="R4b9cd83b77f24062"/>
    <x:sheet xmlns:r="http://schemas.openxmlformats.org/officeDocument/2006/relationships" name="Мировые регионы v1" sheetId="5" r:id="Rc57e32ec899c4684"/>
    <x:sheet xmlns:r="http://schemas.openxmlformats.org/officeDocument/2006/relationships" name="Формула" sheetId="6" r:id="Rd9dedb4185fd4124"/>
    <x:sheet xmlns:r="http://schemas.openxmlformats.org/officeDocument/2006/relationships" name="Провинции — шаблон" sheetId="7" r:id="R7647486bebef438a"/>
    <x:sheet xmlns:r="http://schemas.openxmlformats.org/officeDocument/2006/relationships" name="План реализации" sheetId="8" r:id="R654dcafc98f146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0"/>
    <x:numFmt numFmtId="203" formatCode="#,##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332C2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238"/>
      </x:patternFill>
    </x:fill>
    <x:fill>
      <x:patternFill patternType="solid">
        <x:fgColor rgb="FF8A6D3B"/>
      </x:patternFill>
    </x:fill>
    <x:fill>
      <x:patternFill patternType="solid">
        <x:fgColor rgb="FFE9E0CC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36da89d6594dab" /><Relationship Type="http://schemas.openxmlformats.org/officeDocument/2006/relationships/theme" Target="/xl/theme/theme1.xml" Id="R4ad6410f74974d07" /><Relationship Type="http://schemas.openxmlformats.org/officeDocument/2006/relationships/sharedStrings" Target="/xl/sharedStrings.xml" Id="Rfb386dfac0734ef3" /><Relationship Type="http://schemas.openxmlformats.org/officeDocument/2006/relationships/worksheet" Target="/xl/worksheets/sheet1.xml" Id="R2c7a99b8699045b1" /><Relationship Type="http://schemas.openxmlformats.org/officeDocument/2006/relationships/worksheet" Target="/xl/worksheets/sheet2.xml" Id="R5d7a220524fc4270" /><Relationship Type="http://schemas.openxmlformats.org/officeDocument/2006/relationships/worksheet" Target="/xl/worksheets/sheet3.xml" Id="R0e0270324c8c4c4b" /><Relationship Type="http://schemas.openxmlformats.org/officeDocument/2006/relationships/worksheet" Target="/xl/worksheets/sheet4.xml" Id="R4b9cd83b77f24062" /><Relationship Type="http://schemas.openxmlformats.org/officeDocument/2006/relationships/worksheet" Target="/xl/worksheets/sheet5.xml" Id="Rc57e32ec899c4684" /><Relationship Type="http://schemas.openxmlformats.org/officeDocument/2006/relationships/worksheet" Target="/xl/worksheets/sheet6.xml" Id="Rd9dedb4185fd4124" /><Relationship Type="http://schemas.openxmlformats.org/officeDocument/2006/relationships/worksheet" Target="/xl/worksheets/sheet7.xml" Id="R7647486bebef438a" /><Relationship Type="http://schemas.openxmlformats.org/officeDocument/2006/relationships/worksheet" Target="/xl/worksheets/sheet8.xml" Id="R654dcafc98f146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46" hidden="0" customWidth="1"/>
  </x:cols>
  <x:sheetData>
    <x:row r="1">
      <x:c r="A1" s="4" t="str">
        <x:v>Аудит текущего состояния проекта map</x:v>
      </x:c>
      <x:c r="B1" s="4"/>
      <x:c r="C1" s="4"/>
      <x:c r="D1" s="4"/>
    </x:row>
    <x:row r="3">
      <x:c r="A3" s="12" t="str">
        <x:v>Пункт</x:v>
      </x:c>
      <x:c r="B3" s="12" t="str">
        <x:v>Что найдено</x:v>
      </x:c>
      <x:c r="C3" s="12" t="str">
        <x:v>Вывод</x:v>
      </x:c>
      <x:c r="D3" s="12" t="str">
        <x:v>Файл/источник</x:v>
      </x:c>
    </x:row>
    <x:row r="4">
      <x:c r="A4" s="18" t="str">
        <x:v>Территориальная лестница</x:v>
      </x:c>
      <x:c r="B4" s="18" t="str">
        <x:v>Клетка → Провинция → Регион → Макрорегион → Суперрегион → Континент → Мир</x:v>
      </x:c>
      <x:c r="C4" s="18" t="str">
        <x:v>Уровень zone удалён; клетка хранит только province_id</x:v>
      </x:c>
      <x:c r="D4" s="18" t="str">
        <x:v>УРОВНЕЙ_ТЕРРИТОРИЙ.md</x:v>
      </x:c>
    </x:row>
    <x:row r="5">
      <x:c r="A5" s="18" t="str">
        <x:v>Геометрия провинций</x:v>
      </x:c>
      <x:c r="B5" s="18" t="str">
        <x:v>Отделена от паспорта и сценарного состояния</x:v>
      </x:c>
      <x:c r="C5" s="18" t="str">
        <x:v>Правильная архитектура; area_km2 должен жить в geometry</x:v>
      </x:c>
      <x:c r="D5" s="18" t="str">
        <x:v>assets/map_geometry/provinces.json</x:v>
      </x:c>
    </x:row>
    <x:row r="6">
      <x:c r="A6" s="18" t="str">
        <x:v>Регионы</x:v>
      </x:c>
      <x:c r="B6" s="18" t="str">
        <x:v>В regions.json сейчас только 2 тестовых записи</x:v>
      </x:c>
      <x:c r="C6" s="18" t="str">
        <x:v>Массовая регионализация мира ещё не выполнена</x:v>
      </x:c>
      <x:c r="D6" s="18" t="str">
        <x:v>assets/game_data/regions.json</x:v>
      </x:c>
    </x:row>
    <x:row r="7">
      <x:c r="A7" s="18" t="str">
        <x:v>Макрорегионы</x:v>
      </x:c>
      <x:c r="B7" s="18" t="str">
        <x:v>В macroregions.json сейчас только Иберия и Франция</x:v>
      </x:c>
      <x:c r="C7" s="18" t="str">
        <x:v>Нужна полная мировая таксономия</x:v>
      </x:c>
      <x:c r="D7" s="18" t="str">
        <x:v>assets/game_data/macroregions.json</x:v>
      </x:c>
    </x:row>
    <x:row r="8">
      <x:c r="A8" s="18" t="str">
        <x:v>ID провинций</x:v>
      </x:c>
      <x:c r="B8" s="18" t="str">
        <x:v>Реестр сообщает next_numeric_id = 4027</x:v>
      </x:c>
      <x:c r="C8" s="18" t="str">
        <x:v>Это следующий выдаваемый номер, а не гарантированное число активных провинций</x:v>
      </x:c>
      <x:c r="D8" s="18" t="str">
        <x:v>assets/migrations/province_numeric_id_registry.json</x:v>
      </x:c>
    </x:row>
    <x:row r="9">
      <x:c r="A9" s="18" t="str">
        <x:v>Площадь</x:v>
      </x:c>
      <x:c r="B9" s="18" t="str">
        <x:v>Площадь используется внутри build_provinces.py для фильтров</x:v>
      </x:c>
      <x:c r="C9" s="18" t="str">
        <x:v>В итоговый JSON area_km2 пока не записывается</x:v>
      </x:c>
      <x:c r="D9" s="18" t="str">
        <x:v>scripts/tools/build_provinces.py</x:v>
      </x:c>
    </x:row>
    <x:row r="10">
      <x:c r="A10" s="18" t="str">
        <x:v>Слой 8</x:v>
      </x:c>
      <x:c r="B10" s="18" t="str">
        <x:v>Natural Earth Admin1 после слияний, фильтрации островов и удаления перекрытий</x:v>
      </x:c>
      <x:c r="C10" s="18" t="str">
        <x:v>Размеры клеток считать по финальной геометрии после _remove_overlaps</x:v>
      </x:c>
      <x:c r="D10" s="18" t="str">
        <x:v>assets/provinces.json</x:v>
      </x:c>
    </x:row>
    <x:row r="11">
      <x:c r="A11" s="18" t="str">
        <x:v>Иберийские регионы</x:v>
      </x:c>
      <x:c r="B11" s="18" t="str">
        <x:v>В build_regions_iberia.py уже задано 23 региона</x:v>
      </x:c>
      <x:c r="C11" s="18" t="str">
        <x:v>Можно использовать как первый эталон калибровки</x:v>
      </x:c>
      <x:c r="D11" s="18" t="str">
        <x:v>scripts/tools/build_regions_iberia.py</x:v>
      </x:c>
    </x:row>
    <x:row r="12">
      <x:c r="A12" s="18"/>
      <x:c r="B12" s="18"/>
      <x:c r="C12" s="18"/>
      <x:c r="D12" s="18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9" hidden="0" customWidth="1"/>
    <x:col min="3" max="3" width="14" hidden="0" customWidth="1"/>
    <x:col min="4" max="4" width="13" hidden="0" customWidth="1"/>
    <x:col min="5" max="5" width="13" hidden="0" customWidth="1"/>
    <x:col min="6" max="6" width="44" hidden="0" customWidth="1"/>
    <x:col min="7" max="7" width="52" hidden="0" customWidth="1"/>
  </x:cols>
  <x:sheetData>
    <x:row r="1">
      <x:c r="A1" s="4" t="str">
        <x:v>Базовые классы размера сухопутных клеток</x:v>
      </x:c>
      <x:c r="B1" s="4"/>
      <x:c r="C1" s="4"/>
      <x:c r="D1" s="4"/>
      <x:c r="E1" s="4"/>
      <x:c r="F1" s="4"/>
      <x:c r="G1" s="4"/>
    </x:row>
    <x:row r="3">
      <x:c r="A3" s="12" t="str">
        <x:v>Код</x:v>
      </x:c>
      <x:c r="B3" s="12" t="str">
        <x:v>Профиль</x:v>
      </x:c>
      <x:c r="C3" s="12" t="str">
        <x:v>Цель, км²</x:v>
      </x:c>
      <x:c r="D3" s="12" t="str">
        <x:v>Мин. клеток</x:v>
      </x:c>
      <x:c r="E3" s="12" t="str">
        <x:v>Макс. клеток</x:v>
      </x:c>
      <x:c r="F3" s="12" t="str">
        <x:v>Примеры</x:v>
      </x:c>
      <x:c r="G3" s="12" t="str">
        <x:v>Правило</x:v>
      </x:c>
    </x:row>
    <x:row r="4">
      <x:c r="A4" s="18" t="str">
        <x:v>P0</x:v>
      </x:c>
      <x:c r="B4" s="18" t="str">
        <x:v>Метропольное ядро</x:v>
      </x:c>
      <x:c r="C4" s="22" t="n">
        <x:v>500</x:v>
      </x:c>
      <x:c r="D4" s="22" t="n">
        <x:v>3</x:v>
      </x:c>
      <x:c r="E4" s="22" t="n">
        <x:v>8</x:v>
      </x:c>
      <x:c r="F4" s="18" t="str">
        <x:v>Лондон, Парижское ядро, крупнейшие городские агломерации</x:v>
      </x:c>
      <x:c r="G4" s="18" t="str">
        <x:v>Только подтверждённые исключения; городской минимум 4–5 клеток</x:v>
      </x:c>
    </x:row>
    <x:row r="5">
      <x:c r="A5" s="18" t="str">
        <x:v>P1</x:v>
      </x:c>
      <x:c r="B5" s="18" t="str">
        <x:v>Сверхплотный исторический</x:v>
      </x:c>
      <x:c r="C5" s="22" t="n">
        <x:v>800</x:v>
      </x:c>
      <x:c r="D5" s="22" t="n">
        <x:v>1</x:v>
      </x:c>
      <x:c r="E5" s="22" t="n">
        <x:v>10</x:v>
      </x:c>
      <x:c r="F5" s="18" t="str">
        <x:v>Фландрия, Голландия, дельта Янцзы, Ява</x:v>
      </x:c>
      <x:c r="G5" s="18" t="str">
        <x:v>Очень плотная сеть городов, портов, дорог и коротких маршрутов</x:v>
      </x:c>
    </x:row>
    <x:row r="6">
      <x:c r="A6" s="18" t="str">
        <x:v>P2</x:v>
      </x:c>
      <x:c r="B6" s="18" t="str">
        <x:v>Плотный исторический</x:v>
      </x:c>
      <x:c r="C6" s="22" t="n">
        <x:v>1400</x:v>
      </x:c>
      <x:c r="D6" s="22" t="n">
        <x:v>1</x:v>
      </x:c>
      <x:c r="E6" s="22" t="n">
        <x:v>12</x:v>
      </x:c>
      <x:c r="F6" s="18" t="str">
        <x:v>Северная Италия, Каталония, Гангская равнина, Япония</x:v>
      </x:c>
      <x:c r="G6" s="18" t="str">
        <x:v>Плотная историческая сеть поселений и высокая стратегическая насыщенность</x:v>
      </x:c>
    </x:row>
    <x:row r="7">
      <x:c r="A7" s="18" t="str">
        <x:v>P3</x:v>
      </x:c>
      <x:c r="B7" s="18" t="str">
        <x:v>Обычный исторический</x:v>
      </x:c>
      <x:c r="C7" s="22" t="n">
        <x:v>2200</x:v>
      </x:c>
      <x:c r="D7" s="22" t="n">
        <x:v>1</x:v>
      </x:c>
      <x:c r="E7" s="22" t="n">
        <x:v>14</x:v>
      </x:c>
      <x:c r="F7" s="18" t="str">
        <x:v>Галисия, Франция, Англия, Германия, Балканы</x:v>
      </x:c>
      <x:c r="G7" s="18" t="str">
        <x:v>Базовый профиль развитых исторических территорий</x:v>
      </x:c>
    </x:row>
    <x:row r="8">
      <x:c r="A8" s="18" t="str">
        <x:v>P4</x:v>
      </x:c>
      <x:c r="B8" s="18" t="str">
        <x:v>Широкий аграрный</x:v>
      </x:c>
      <x:c r="C8" s="22" t="n">
        <x:v>4000</x:v>
      </x:c>
      <x:c r="D8" s="22" t="n">
        <x:v>1</x:v>
      </x:c>
      <x:c r="E8" s="22" t="n">
        <x:v>16</x:v>
      </x:c>
      <x:c r="F8" s="18" t="str">
        <x:v>Внутренняя Иберия, Украина, Анатолия, Декан</x:v>
      </x:c>
      <x:c r="G8" s="18" t="str">
        <x:v>Крупные сельские пространства без чрезмерного укрупнения</x:v>
      </x:c>
    </x:row>
    <x:row r="9">
      <x:c r="A9" s="18" t="str">
        <x:v>P5</x:v>
      </x:c>
      <x:c r="B9" s="18" t="str">
        <x:v>Редкий аграрный/степной</x:v>
      </x:c>
      <x:c r="C9" s="22" t="n">
        <x:v>8000</x:v>
      </x:c>
      <x:c r="D9" s="22" t="n">
        <x:v>1</x:v>
      </x:c>
      <x:c r="E9" s="22" t="n">
        <x:v>16</x:v>
      </x:c>
      <x:c r="F9" s="18" t="str">
        <x:v>Великие равнины, Поволжье, южная степь, часть Африки</x:v>
      </x:c>
      <x:c r="G9" s="18" t="str">
        <x:v>Большие клетки, но сохраняется локальная география</x:v>
      </x:c>
    </x:row>
    <x:row r="10">
      <x:c r="A10" s="18" t="str">
        <x:v>P6</x:v>
      </x:c>
      <x:c r="B10" s="18" t="str">
        <x:v>Фронтирный</x:v>
      </x:c>
      <x:c r="C10" s="22" t="n">
        <x:v>18000</x:v>
      </x:c>
      <x:c r="D10" s="22" t="n">
        <x:v>1</x:v>
      </x:c>
      <x:c r="E10" s="22" t="n">
        <x:v>14</x:v>
      </x:c>
      <x:c r="F10" s="18" t="str">
        <x:v>Патагония, Сахель, горные окраины, север Канады</x:v>
      </x:c>
      <x:c r="G10" s="18" t="str">
        <x:v>Низкая плотность, длинные маршруты и крупные провинции</x:v>
      </x:c>
    </x:row>
    <x:row r="11">
      <x:c r="A11" s="18" t="str">
        <x:v>P7</x:v>
      </x:c>
      <x:c r="B11" s="18" t="str">
        <x:v>Редкий</x:v>
      </x:c>
      <x:c r="C11" s="22" t="n">
        <x:v>45000</x:v>
      </x:c>
      <x:c r="D11" s="22" t="n">
        <x:v>1</x:v>
      </x:c>
      <x:c r="E11" s="22" t="n">
        <x:v>12</x:v>
      </x:c>
      <x:c r="F11" s="18" t="str">
        <x:v>Амазония, пустыни, тайга, внутренние плато</x:v>
      </x:c>
      <x:c r="G11" s="18" t="str">
        <x:v>Очень крупные клетки; локальные центры дают исключения</x:v>
      </x:c>
    </x:row>
    <x:row r="12">
      <x:c r="A12" s="18" t="str">
        <x:v>P8</x:v>
      </x:c>
      <x:c r="B12" s="18" t="str">
        <x:v>Крайне редкий</x:v>
      </x:c>
      <x:c r="C12" s="22" t="n">
        <x:v>150000</x:v>
      </x:c>
      <x:c r="D12" s="22" t="n">
        <x:v>1</x:v>
      </x:c>
      <x:c r="E12" s="22" t="n">
        <x:v>12</x:v>
      </x:c>
      <x:c r="F12" s="18" t="str">
        <x:v>Центральная Сибирь, Арктика, Сахара, Австралийская глубинка</x:v>
      </x:c>
      <x:c r="G12" s="18" t="str">
        <x:v>Гигантские клетки; число клеток жёстко ограничено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9" hidden="0" customWidth="1"/>
    <x:col min="3" max="3" width="14" hidden="0" customWidth="1"/>
    <x:col min="4" max="4" width="46" hidden="0" customWidth="1"/>
    <x:col min="5" max="5" width="18" hidden="0" customWidth="1"/>
    <x:col min="6" max="6" width="55" hidden="0" customWidth="1"/>
  </x:cols>
  <x:sheetData>
    <x:row r="1">
      <x:c r="A1" s="4" t="str">
        <x:v>Коэффициенты и ограничения расчёта</x:v>
      </x:c>
      <x:c r="B1" s="4"/>
      <x:c r="C1" s="4"/>
      <x:c r="D1" s="4"/>
      <x:c r="E1" s="4"/>
      <x:c r="F1" s="4"/>
    </x:row>
    <x:row r="3">
      <x:c r="A3" s="12" t="str">
        <x:v>Группа</x:v>
      </x:c>
      <x:c r="B3" s="12" t="str">
        <x:v>Класс</x:v>
      </x:c>
      <x:c r="C3" s="12" t="str">
        <x:v>Коэффициент</x:v>
      </x:c>
      <x:c r="D3" s="12" t="str">
        <x:v>Когда применять</x:v>
      </x:c>
      <x:c r="E3" s="12" t="str">
        <x:v>Ограничение</x:v>
      </x:c>
      <x:c r="F3" s="12" t="str">
        <x:v>Комментарий</x:v>
      </x:c>
    </x:row>
    <x:row r="4">
      <x:c r="A4" s="18" t="str">
        <x:v>Берег</x:v>
      </x:c>
      <x:c r="B4" s="18" t="str">
        <x:v>Нет побережья</x:v>
      </x:c>
      <x:c r="C4" s="26" t="n">
        <x:v>1</x:v>
      </x:c>
      <x:c r="D4" s="18" t="str">
        <x:v>Внутренняя провинция</x:v>
      </x:c>
      <x:c r="E4" s="18" t="str"/>
      <x:c r="F4" s="18" t="str"/>
    </x:row>
    <x:row r="5">
      <x:c r="A5" s="18" t="str">
        <x:v>Берег</x:v>
      </x:c>
      <x:c r="B5" s="18" t="str">
        <x:v>Обычное побережье</x:v>
      </x:c>
      <x:c r="C5" s="26" t="n">
        <x:v>1.05</x:v>
      </x:c>
      <x:c r="D5" s="18" t="str">
        <x:v>Один простой береговой сегмент</x:v>
      </x:c>
      <x:c r="E5" s="18" t="str"/>
      <x:c r="F5" s="18" t="str"/>
    </x:row>
    <x:row r="6">
      <x:c r="A6" s="18" t="str">
        <x:v>Берег</x:v>
      </x:c>
      <x:c r="B6" s="18" t="str">
        <x:v>Бухты и полуострова</x:v>
      </x:c>
      <x:c r="C6" s="26" t="n">
        <x:v>1.12</x:v>
      </x:c>
      <x:c r="D6" s="18" t="str">
        <x:v>Несколько естественных прибрежных подзон</x:v>
      </x:c>
      <x:c r="E6" s="18" t="str"/>
      <x:c r="F6" s="18" t="str"/>
    </x:row>
    <x:row r="7">
      <x:c r="A7" s="18" t="str">
        <x:v>Берег</x:v>
      </x:c>
      <x:c r="B7" s="18" t="str">
        <x:v>Сильно изрезанный берег</x:v>
      </x:c>
      <x:c r="C7" s="26" t="n">
        <x:v>1.2</x:v>
      </x:c>
      <x:c r="D7" s="18" t="str">
        <x:v>Фьорды, многочисленные бухты и шейки</x:v>
      </x:c>
      <x:c r="E7" s="18" t="str"/>
      <x:c r="F7" s="18" t="str"/>
    </x:row>
    <x:row r="8">
      <x:c r="A8" s="18" t="str">
        <x:v>Берег</x:v>
      </x:c>
      <x:c r="B8" s="18" t="str">
        <x:v>Архипелаг</x:v>
      </x:c>
      <x:c r="C8" s="26" t="n">
        <x:v>1.3</x:v>
      </x:c>
      <x:c r="D8" s="18" t="str">
        <x:v>Несколько островов/изолированных кусков</x:v>
      </x:c>
      <x:c r="E8" s="18" t="str"/>
      <x:c r="F8" s="18" t="str">
        <x:v>Островная логика важнее средней площади</x:v>
      </x:c>
    </x:row>
    <x:row r="9">
      <x:c r="A9" s="18" t="str">
        <x:v>Рельеф</x:v>
      </x:c>
      <x:c r="B9" s="18" t="str">
        <x:v>Равнина</x:v>
      </x:c>
      <x:c r="C9" s="26" t="n">
        <x:v>1</x:v>
      </x:c>
      <x:c r="D9" s="18" t="str">
        <x:v>Нет крупных природных барьеров</x:v>
      </x:c>
      <x:c r="E9" s="18" t="str"/>
      <x:c r="F9" s="18" t="str"/>
    </x:row>
    <x:row r="10">
      <x:c r="A10" s="18" t="str">
        <x:v>Рельеф</x:v>
      </x:c>
      <x:c r="B10" s="18" t="str">
        <x:v>Смешанный</x:v>
      </x:c>
      <x:c r="C10" s="26" t="n">
        <x:v>1.05</x:v>
      </x:c>
      <x:c r="D10" s="18" t="str">
        <x:v>Холмы и локальные долины</x:v>
      </x:c>
      <x:c r="E10" s="18" t="str"/>
      <x:c r="F10" s="18" t="str"/>
    </x:row>
    <x:row r="11">
      <x:c r="A11" s="18" t="str">
        <x:v>Рельеф</x:v>
      </x:c>
      <x:c r="B11" s="18" t="str">
        <x:v>Холмы и долины</x:v>
      </x:c>
      <x:c r="C11" s="26" t="n">
        <x:v>1.1</x:v>
      </x:c>
      <x:c r="D11" s="18" t="str">
        <x:v>Несколько естественных бассейнов</x:v>
      </x:c>
      <x:c r="E11" s="18" t="str"/>
      <x:c r="F11" s="18" t="str"/>
    </x:row>
    <x:row r="12">
      <x:c r="A12" s="18" t="str">
        <x:v>Рельеф</x:v>
      </x:c>
      <x:c r="B12" s="18" t="str">
        <x:v>Горы и перевалы</x:v>
      </x:c>
      <x:c r="C12" s="26" t="n">
        <x:v>1.18</x:v>
      </x:c>
      <x:c r="D12" s="18" t="str">
        <x:v>Гребни, перевалы, разделённые долины</x:v>
      </x:c>
      <x:c r="E12" s="18" t="str"/>
      <x:c r="F12" s="18" t="str"/>
    </x:row>
    <x:row r="13">
      <x:c r="A13" s="18" t="str">
        <x:v>Рельеф</x:v>
      </x:c>
      <x:c r="B13" s="18" t="str">
        <x:v>Сложные горные бассейны</x:v>
      </x:c>
      <x:c r="C13" s="26" t="n">
        <x:v>1.25</x:v>
      </x:c>
      <x:c r="D13" s="18" t="str">
        <x:v>Изолированные котловины и проходы</x:v>
      </x:c>
      <x:c r="E13" s="18" t="str"/>
      <x:c r="F13" s="18" t="str"/>
    </x:row>
    <x:row r="14">
      <x:c r="A14" s="18" t="str">
        <x:v>Форма</x:v>
      </x:c>
      <x:c r="B14" s="18" t="str">
        <x:v>Компактная</x:v>
      </x:c>
      <x:c r="C14" s="26" t="n">
        <x:v>1</x:v>
      </x:c>
      <x:c r="D14" s="18" t="str">
        <x:v>Округлый или умеренно вытянутый полигон</x:v>
      </x:c>
      <x:c r="E14" s="18" t="str"/>
      <x:c r="F14" s="18" t="str"/>
    </x:row>
    <x:row r="15">
      <x:c r="A15" s="18" t="str">
        <x:v>Форма</x:v>
      </x:c>
      <x:c r="B15" s="18" t="str">
        <x:v>Вытянутая</x:v>
      </x:c>
      <x:c r="C15" s="26" t="n">
        <x:v>1.05</x:v>
      </x:c>
      <x:c r="D15" s="18" t="str">
        <x:v>Длина значительно больше ширины</x:v>
      </x:c>
      <x:c r="E15" s="18" t="str"/>
      <x:c r="F15" s="18" t="str"/>
    </x:row>
    <x:row r="16">
      <x:c r="A16" s="18" t="str">
        <x:v>Форма</x:v>
      </x:c>
      <x:c r="B16" s="18" t="str">
        <x:v>Несколько лопастей</x:v>
      </x:c>
      <x:c r="C16" s="26" t="n">
        <x:v>1.12</x:v>
      </x:c>
      <x:c r="D16" s="18" t="str">
        <x:v>Полигон имеет выраженные географические части</x:v>
      </x:c>
      <x:c r="E16" s="18" t="str"/>
      <x:c r="F16" s="18" t="str"/>
    </x:row>
    <x:row r="17">
      <x:c r="A17" s="18" t="str">
        <x:v>Форма</x:v>
      </x:c>
      <x:c r="B17" s="18" t="str">
        <x:v>Полуостровы/перешейки</x:v>
      </x:c>
      <x:c r="C17" s="26" t="n">
        <x:v>1.18</x:v>
      </x:c>
      <x:c r="D17" s="18" t="str">
        <x:v>Есть естественные шейки для разделения</x:v>
      </x:c>
      <x:c r="E17" s="18" t="str"/>
      <x:c r="F17" s="18" t="str"/>
    </x:row>
    <x:row r="18">
      <x:c r="A18" s="18" t="str">
        <x:v>Итог</x:v>
      </x:c>
      <x:c r="B18" s="18" t="str">
        <x:v>Локальная сложность</x:v>
      </x:c>
      <x:c r="C18" s="26"/>
      <x:c r="D18" s="18" t="str">
        <x:v>coast × relief × shape</x:v>
      </x:c>
      <x:c r="E18" s="18" t="str">
        <x:v>0.85–1.35</x:v>
      </x:c>
      <x:c r="F18" s="18" t="str">
        <x:v>Историческая плотность не умножается второй раз: она уже в target_area</x:v>
      </x:c>
    </x:row>
    <x:row r="19">
      <x:c r="A19" s="18" t="str">
        <x:v>Якоря</x:v>
      </x:c>
      <x:c r="B19" s="18" t="str">
        <x:v>Обычный центр</x:v>
      </x:c>
      <x:c r="C19" s="26" t="n">
        <x:v>1</x:v>
      </x:c>
      <x:c r="D19" s="18" t="str">
        <x:v>Город или главный посёлок</x:v>
      </x:c>
      <x:c r="E19" s="18" t="str"/>
      <x:c r="F19" s="18" t="str">
        <x:v>Городская клетка создаётся первой</x:v>
      </x:c>
    </x:row>
    <x:row r="20">
      <x:c r="A20" s="18" t="str">
        <x:v>Якоря</x:v>
      </x:c>
      <x:c r="B20" s="18" t="str">
        <x:v>Крупный региональный город</x:v>
      </x:c>
      <x:c r="C20" s="26" t="n">
        <x:v>2</x:v>
      </x:c>
      <x:c r="D20" s="18" t="str">
        <x:v>Город + отдельная окружающая зона</x:v>
      </x:c>
      <x:c r="E20" s="18" t="str"/>
      <x:c r="F20" s="18" t="str">
        <x:v>Не всегда нужен; зависит от масштаба</x:v>
      </x:c>
    </x:row>
    <x:row r="21">
      <x:c r="A21" s="18" t="str">
        <x:v>Якоря</x:v>
      </x:c>
      <x:c r="B21" s="18" t="str">
        <x:v>Метрополия</x:v>
      </x:c>
      <x:c r="C21" s="26" t="n">
        <x:v>4</x:v>
      </x:c>
      <x:c r="D21" s="18" t="str">
        <x:v>Столичное/агломерационное ядро</x:v>
      </x:c>
      <x:c r="E21" s="18" t="str">
        <x:v>обычно 4–5</x:v>
      </x:c>
      <x:c r="F21" s="18" t="str">
        <x:v>Override по минимуму, а не по размеру клетки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0" hidden="0" customWidth="1"/>
    <x:col min="4" max="4" width="12" hidden="0" customWidth="1"/>
    <x:col min="5" max="5" width="8" hidden="0" customWidth="1"/>
    <x:col min="6" max="6" width="8" hidden="0" customWidth="1"/>
    <x:col min="7" max="7" width="19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50" hidden="0" customWidth="1"/>
    <x:col min="17" max="17" width="14" hidden="0" customWidth="1"/>
  </x:cols>
  <x:sheetData>
    <x:row r="1">
      <x:c r="A1" s="4" t="str">
        <x:v>Региональные правила размера клеток — Иберия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3">
      <x:c r="A3" s="12" t="str">
        <x:v>Регион</x:v>
      </x:c>
      <x:c r="B3" s="12" t="str">
        <x:v>Макрорегион</x:v>
      </x:c>
      <x:c r="C3" s="12" t="str">
        <x:v>Профиль</x:v>
      </x:c>
      <x:c r="D3" s="12" t="str">
        <x:v>Цель, км²</x:v>
      </x:c>
      <x:c r="E3" s="12" t="str">
        <x:v>Мин</x:v>
      </x:c>
      <x:c r="F3" s="12" t="str">
        <x:v>Макс</x:v>
      </x:c>
      <x:c r="G3" s="12" t="str">
        <x:v>Историческая плотность</x:v>
      </x:c>
      <x:c r="H3" s="12" t="str">
        <x:v>Геосложность</x:v>
      </x:c>
      <x:c r="I3" s="12" t="str">
        <x:v>От 2 клеток</x:v>
      </x:c>
      <x:c r="J3" s="12" t="str">
        <x:v>От 3</x:v>
      </x:c>
      <x:c r="K3" s="12" t="str">
        <x:v>От 4</x:v>
      </x:c>
      <x:c r="L3" s="12" t="str">
        <x:v>От 5</x:v>
      </x:c>
      <x:c r="M3" s="12" t="str">
        <x:v>От 6</x:v>
      </x:c>
      <x:c r="N3" s="12" t="str">
        <x:v>От 8</x:v>
      </x:c>
      <x:c r="O3" s="12" t="str">
        <x:v>От 10</x:v>
      </x:c>
      <x:c r="P3" s="12" t="str">
        <x:v>Примечание</x:v>
      </x:c>
      <x:c r="Q3" s="12" t="str">
        <x:v>Статус</x:v>
      </x:c>
    </x:row>
    <x:row r="4">
      <x:c r="A4" s="18" t="str">
        <x:v>Галисия</x:v>
      </x:c>
      <x:c r="B4" s="18" t="str">
        <x:v>Иберия</x:v>
      </x:c>
      <x:c r="C4" s="18" t="str">
        <x:v>P3</x:v>
      </x:c>
      <x:c r="D4" s="22" t="n">
        <x:v>2100</x:v>
      </x:c>
      <x:c r="E4" s="22" t="n">
        <x:v>1</x:v>
      </x:c>
      <x:c r="F4" s="22" t="n">
        <x:v>10</x:v>
      </x:c>
      <x:c r="G4" s="22" t="n">
        <x:v>1.3</x:v>
      </x:c>
      <x:c r="H4" s="22" t="n">
        <x:v>1.15</x:v>
      </x:c>
      <x:c r="I4" s="22" t="n">
        <x:f>D4*1.5</x:f>
        <x:v>3150</x:v>
      </x:c>
      <x:c r="J4" s="22" t="n">
        <x:f>D4*2.5</x:f>
        <x:v>5250</x:v>
      </x:c>
      <x:c r="K4" s="22" t="n">
        <x:f>D4*3.5</x:f>
        <x:v>7350</x:v>
      </x:c>
      <x:c r="L4" s="22" t="n">
        <x:f>D4*4.5</x:f>
        <x:v>9450</x:v>
      </x:c>
      <x:c r="M4" s="22" t="n">
        <x:f>D4*5.5</x:f>
        <x:v>11550</x:v>
      </x:c>
      <x:c r="N4" s="22" t="n">
        <x:f>D4*7.5</x:f>
        <x:v>15750</x:v>
      </x:c>
      <x:c r="O4" s="22" t="n">
        <x:f>D4*9.5</x:f>
        <x:v>19950</x:v>
      </x:c>
      <x:c r="P4" s="18" t="str">
        <x:v>Влажное атлантическое побережье; Ла-Корунья ≈ 4 клетки</x:v>
      </x:c>
      <x:c r="Q4" s="18" t="str">
        <x:v>Профиль v1</x:v>
      </x:c>
    </x:row>
    <x:row r="5">
      <x:c r="A5" s="18" t="str">
        <x:v>Астурия</x:v>
      </x:c>
      <x:c r="B5" s="18" t="str">
        <x:v>Иберия</x:v>
      </x:c>
      <x:c r="C5" s="18" t="str">
        <x:v>P3</x:v>
      </x:c>
      <x:c r="D5" s="22" t="n">
        <x:v>1800</x:v>
      </x:c>
      <x:c r="E5" s="22" t="n">
        <x:v>1</x:v>
      </x:c>
      <x:c r="F5" s="22" t="n">
        <x:v>10</x:v>
      </x:c>
      <x:c r="G5" s="22" t="n">
        <x:v>1.1</x:v>
      </x:c>
      <x:c r="H5" s="22" t="n">
        <x:v>1.25</x:v>
      </x:c>
      <x:c r="I5" s="22" t="n">
        <x:f>D5*1.5</x:f>
        <x:v>2700</x:v>
      </x:c>
      <x:c r="J5" s="22" t="n">
        <x:f>D5*2.5</x:f>
        <x:v>4500</x:v>
      </x:c>
      <x:c r="K5" s="22" t="n">
        <x:f>D5*3.5</x:f>
        <x:v>6300</x:v>
      </x:c>
      <x:c r="L5" s="22" t="n">
        <x:f>D5*4.5</x:f>
        <x:v>8100</x:v>
      </x:c>
      <x:c r="M5" s="22" t="n">
        <x:f>D5*5.5</x:f>
        <x:v>9900</x:v>
      </x:c>
      <x:c r="N5" s="22" t="n">
        <x:f>D5*7.5</x:f>
        <x:v>13500</x:v>
      </x:c>
      <x:c r="O5" s="22" t="n">
        <x:f>D5*9.5</x:f>
        <x:v>17100</x:v>
      </x:c>
      <x:c r="P5" s="18" t="str">
        <x:v>Узкая прибрежно-горная территория</x:v>
      </x:c>
      <x:c r="Q5" s="18" t="str">
        <x:v>Профиль v1</x:v>
      </x:c>
    </x:row>
    <x:row r="6">
      <x:c r="A6" s="18" t="str">
        <x:v>Кантабрийско-Баскское побережье</x:v>
      </x:c>
      <x:c r="B6" s="18" t="str">
        <x:v>Иберия</x:v>
      </x:c>
      <x:c r="C6" s="18" t="str">
        <x:v>P2</x:v>
      </x:c>
      <x:c r="D6" s="22" t="n">
        <x:v>1300</x:v>
      </x:c>
      <x:c r="E6" s="22" t="n">
        <x:v>1</x:v>
      </x:c>
      <x:c r="F6" s="22" t="n">
        <x:v>12</x:v>
      </x:c>
      <x:c r="G6" s="22" t="n">
        <x:v>1.55</x:v>
      </x:c>
      <x:c r="H6" s="22" t="n">
        <x:v>1.25</x:v>
      </x:c>
      <x:c r="I6" s="22" t="n">
        <x:f>D6*1.5</x:f>
        <x:v>1950</x:v>
      </x:c>
      <x:c r="J6" s="22" t="n">
        <x:f>D6*2.5</x:f>
        <x:v>3250</x:v>
      </x:c>
      <x:c r="K6" s="22" t="n">
        <x:f>D6*3.5</x:f>
        <x:v>4550</x:v>
      </x:c>
      <x:c r="L6" s="22" t="n">
        <x:f>D6*4.5</x:f>
        <x:v>5850</x:v>
      </x:c>
      <x:c r="M6" s="22" t="n">
        <x:f>D6*5.5</x:f>
        <x:v>7150</x:v>
      </x:c>
      <x:c r="N6" s="22" t="n">
        <x:f>D6*7.5</x:f>
        <x:v>9750</x:v>
      </x:c>
      <x:c r="O6" s="22" t="n">
        <x:f>D6*9.5</x:f>
        <x:v>12350</x:v>
      </x:c>
      <x:c r="P6" s="18" t="str">
        <x:v>Плотная портовая и рельефно сложная зона</x:v>
      </x:c>
      <x:c r="Q6" s="18" t="str">
        <x:v>Профиль v1</x:v>
      </x:c>
    </x:row>
    <x:row r="7">
      <x:c r="A7" s="18" t="str">
        <x:v>Наварра</x:v>
      </x:c>
      <x:c r="B7" s="18" t="str">
        <x:v>Иберия</x:v>
      </x:c>
      <x:c r="C7" s="18" t="str">
        <x:v>P3</x:v>
      </x:c>
      <x:c r="D7" s="22" t="n">
        <x:v>1900</x:v>
      </x:c>
      <x:c r="E7" s="22" t="n">
        <x:v>1</x:v>
      </x:c>
      <x:c r="F7" s="22" t="n">
        <x:v>10</x:v>
      </x:c>
      <x:c r="G7" s="22" t="n">
        <x:v>1.2</x:v>
      </x:c>
      <x:c r="H7" s="22" t="n">
        <x:v>1.2</x:v>
      </x:c>
      <x:c r="I7" s="22" t="n">
        <x:f>D7*1.5</x:f>
        <x:v>2850</x:v>
      </x:c>
      <x:c r="J7" s="22" t="n">
        <x:f>D7*2.5</x:f>
        <x:v>4750</x:v>
      </x:c>
      <x:c r="K7" s="22" t="n">
        <x:f>D7*3.5</x:f>
        <x:v>6650</x:v>
      </x:c>
      <x:c r="L7" s="22" t="n">
        <x:f>D7*4.5</x:f>
        <x:v>8550</x:v>
      </x:c>
      <x:c r="M7" s="22" t="n">
        <x:f>D7*5.5</x:f>
        <x:v>10450</x:v>
      </x:c>
      <x:c r="N7" s="22" t="n">
        <x:f>D7*7.5</x:f>
        <x:v>14250</x:v>
      </x:c>
      <x:c r="O7" s="22" t="n">
        <x:f>D7*9.5</x:f>
        <x:v>18050</x:v>
      </x:c>
      <x:c r="P7" s="18" t="str">
        <x:v>Пиренейские проходы и переход к равнинам</x:v>
      </x:c>
      <x:c r="Q7" s="18" t="str">
        <x:v>Профиль v1</x:v>
      </x:c>
    </x:row>
    <x:row r="8">
      <x:c r="A8" s="18" t="str">
        <x:v>Леон</x:v>
      </x:c>
      <x:c r="B8" s="18" t="str">
        <x:v>Иберия</x:v>
      </x:c>
      <x:c r="C8" s="18" t="str">
        <x:v>P4</x:v>
      </x:c>
      <x:c r="D8" s="22" t="n">
        <x:v>3000</x:v>
      </x:c>
      <x:c r="E8" s="22" t="n">
        <x:v>1</x:v>
      </x:c>
      <x:c r="F8" s="22" t="n">
        <x:v>12</x:v>
      </x:c>
      <x:c r="G8" s="22" t="n">
        <x:v>0.9</x:v>
      </x:c>
      <x:c r="H8" s="22" t="n">
        <x:v>1.05</x:v>
      </x:c>
      <x:c r="I8" s="22" t="n">
        <x:f>D8*1.5</x:f>
        <x:v>4500</x:v>
      </x:c>
      <x:c r="J8" s="22" t="n">
        <x:f>D8*2.5</x:f>
        <x:v>7500</x:v>
      </x:c>
      <x:c r="K8" s="22" t="n">
        <x:f>D8*3.5</x:f>
        <x:v>10500</x:v>
      </x:c>
      <x:c r="L8" s="22" t="n">
        <x:f>D8*4.5</x:f>
        <x:v>13500</x:v>
      </x:c>
      <x:c r="M8" s="22" t="n">
        <x:f>D8*5.5</x:f>
        <x:v>16500</x:v>
      </x:c>
      <x:c r="N8" s="22" t="n">
        <x:f>D8*7.5</x:f>
        <x:v>22500</x:v>
      </x:c>
      <x:c r="O8" s="22" t="n">
        <x:f>D8*9.5</x:f>
        <x:v>28500</x:v>
      </x:c>
      <x:c r="P8" s="18" t="str">
        <x:v>Широкое внутреннее плато</x:v>
      </x:c>
      <x:c r="Q8" s="18" t="str">
        <x:v>Профиль v1</x:v>
      </x:c>
    </x:row>
    <x:row r="9">
      <x:c r="A9" s="18" t="str">
        <x:v>Старая Кастилия</x:v>
      </x:c>
      <x:c r="B9" s="18" t="str">
        <x:v>Иберия</x:v>
      </x:c>
      <x:c r="C9" s="18" t="str">
        <x:v>P4</x:v>
      </x:c>
      <x:c r="D9" s="22" t="n">
        <x:v>2800</x:v>
      </x:c>
      <x:c r="E9" s="22" t="n">
        <x:v>1</x:v>
      </x:c>
      <x:c r="F9" s="22" t="n">
        <x:v>14</x:v>
      </x:c>
      <x:c r="G9" s="22" t="n">
        <x:v>1</x:v>
      </x:c>
      <x:c r="H9" s="22" t="n">
        <x:v>1.05</x:v>
      </x:c>
      <x:c r="I9" s="22" t="n">
        <x:f>D9*1.5</x:f>
        <x:v>4200</x:v>
      </x:c>
      <x:c r="J9" s="22" t="n">
        <x:f>D9*2.5</x:f>
        <x:v>7000</x:v>
      </x:c>
      <x:c r="K9" s="22" t="n">
        <x:f>D9*3.5</x:f>
        <x:v>9800</x:v>
      </x:c>
      <x:c r="L9" s="22" t="n">
        <x:f>D9*4.5</x:f>
        <x:v>12600</x:v>
      </x:c>
      <x:c r="M9" s="22" t="n">
        <x:f>D9*5.5</x:f>
        <x:v>15400</x:v>
      </x:c>
      <x:c r="N9" s="22" t="n">
        <x:f>D9*7.5</x:f>
        <x:v>21000</x:v>
      </x:c>
      <x:c r="O9" s="22" t="n">
        <x:f>D9*9.5</x:f>
        <x:v>26600</x:v>
      </x:c>
      <x:c r="P9" s="18" t="str">
        <x:v>Крупные аграрные пространства и исторические города</x:v>
      </x:c>
      <x:c r="Q9" s="18" t="str">
        <x:v>Профиль v1</x:v>
      </x:c>
    </x:row>
    <x:row r="10">
      <x:c r="A10" s="18" t="str">
        <x:v>Новая Кастилия</x:v>
      </x:c>
      <x:c r="B10" s="18" t="str">
        <x:v>Иберия</x:v>
      </x:c>
      <x:c r="C10" s="18" t="str">
        <x:v>P3</x:v>
      </x:c>
      <x:c r="D10" s="22" t="n">
        <x:v>2400</x:v>
      </x:c>
      <x:c r="E10" s="22" t="n">
        <x:v>1</x:v>
      </x:c>
      <x:c r="F10" s="22" t="n">
        <x:v>14</x:v>
      </x:c>
      <x:c r="G10" s="22" t="n">
        <x:v>1.2</x:v>
      </x:c>
      <x:c r="H10" s="22" t="n">
        <x:v>1.05</x:v>
      </x:c>
      <x:c r="I10" s="22" t="n">
        <x:f>D10*1.5</x:f>
        <x:v>3600</x:v>
      </x:c>
      <x:c r="J10" s="22" t="n">
        <x:f>D10*2.5</x:f>
        <x:v>6000</x:v>
      </x:c>
      <x:c r="K10" s="22" t="n">
        <x:f>D10*3.5</x:f>
        <x:v>8400</x:v>
      </x:c>
      <x:c r="L10" s="22" t="n">
        <x:f>D10*4.5</x:f>
        <x:v>10800</x:v>
      </x:c>
      <x:c r="M10" s="22" t="n">
        <x:f>D10*5.5</x:f>
        <x:v>13200</x:v>
      </x:c>
      <x:c r="N10" s="22" t="n">
        <x:f>D10*7.5</x:f>
        <x:v>18000</x:v>
      </x:c>
      <x:c r="O10" s="22" t="n">
        <x:f>D10*9.5</x:f>
        <x:v>22800</x:v>
      </x:c>
      <x:c r="P10" s="18" t="str">
        <x:v>Мадрид и Толедо создают локальные исключения</x:v>
      </x:c>
      <x:c r="Q10" s="18" t="str">
        <x:v>Профиль v1</x:v>
      </x:c>
    </x:row>
    <x:row r="11">
      <x:c r="A11" s="18" t="str">
        <x:v>Ла-Манча</x:v>
      </x:c>
      <x:c r="B11" s="18" t="str">
        <x:v>Иберия</x:v>
      </x:c>
      <x:c r="C11" s="18" t="str">
        <x:v>P4</x:v>
      </x:c>
      <x:c r="D11" s="22" t="n">
        <x:v>4300</x:v>
      </x:c>
      <x:c r="E11" s="22" t="n">
        <x:v>1</x:v>
      </x:c>
      <x:c r="F11" s="22" t="n">
        <x:v>12</x:v>
      </x:c>
      <x:c r="G11" s="22" t="n">
        <x:v>0.75</x:v>
      </x:c>
      <x:c r="H11" s="22" t="n">
        <x:v>0.95</x:v>
      </x:c>
      <x:c r="I11" s="22" t="n">
        <x:f>D11*1.5</x:f>
        <x:v>6450</x:v>
      </x:c>
      <x:c r="J11" s="22" t="n">
        <x:f>D11*2.5</x:f>
        <x:v>10750</x:v>
      </x:c>
      <x:c r="K11" s="22" t="n">
        <x:f>D11*3.5</x:f>
        <x:v>15050</x:v>
      </x:c>
      <x:c r="L11" s="22" t="n">
        <x:f>D11*4.5</x:f>
        <x:v>19350</x:v>
      </x:c>
      <x:c r="M11" s="22" t="n">
        <x:f>D11*5.5</x:f>
        <x:v>23650</x:v>
      </x:c>
      <x:c r="N11" s="22" t="n">
        <x:f>D11*7.5</x:f>
        <x:v>32250</x:v>
      </x:c>
      <x:c r="O11" s="22" t="n">
        <x:f>D11*9.5</x:f>
        <x:v>40850</x:v>
      </x:c>
      <x:c r="P11" s="18" t="str">
        <x:v>Открытые сухие равнины</x:v>
      </x:c>
      <x:c r="Q11" s="18" t="str">
        <x:v>Профиль v1</x:v>
      </x:c>
    </x:row>
    <x:row r="12">
      <x:c r="A12" s="18" t="str">
        <x:v>Эстремадура</x:v>
      </x:c>
      <x:c r="B12" s="18" t="str">
        <x:v>Иберия</x:v>
      </x:c>
      <x:c r="C12" s="18" t="str">
        <x:v>P4</x:v>
      </x:c>
      <x:c r="D12" s="22" t="n">
        <x:v>4200</x:v>
      </x:c>
      <x:c r="E12" s="22" t="n">
        <x:v>1</x:v>
      </x:c>
      <x:c r="F12" s="22" t="n">
        <x:v>12</x:v>
      </x:c>
      <x:c r="G12" s="22" t="n">
        <x:v>0.75</x:v>
      </x:c>
      <x:c r="H12" s="22" t="n">
        <x:v>1</x:v>
      </x:c>
      <x:c r="I12" s="22" t="n">
        <x:f>D12*1.5</x:f>
        <x:v>6300</x:v>
      </x:c>
      <x:c r="J12" s="22" t="n">
        <x:f>D12*2.5</x:f>
        <x:v>10500</x:v>
      </x:c>
      <x:c r="K12" s="22" t="n">
        <x:f>D12*3.5</x:f>
        <x:v>14700</x:v>
      </x:c>
      <x:c r="L12" s="22" t="n">
        <x:f>D12*4.5</x:f>
        <x:v>18900</x:v>
      </x:c>
      <x:c r="M12" s="22" t="n">
        <x:f>D12*5.5</x:f>
        <x:v>23100</x:v>
      </x:c>
      <x:c r="N12" s="22" t="n">
        <x:f>D12*7.5</x:f>
        <x:v>31500</x:v>
      </x:c>
      <x:c r="O12" s="22" t="n">
        <x:f>D12*9.5</x:f>
        <x:v>39900</x:v>
      </x:c>
      <x:c r="P12" s="18" t="str">
        <x:v>Редкая историческая сеть поселений</x:v>
      </x:c>
      <x:c r="Q12" s="18" t="str">
        <x:v>Профиль v1</x:v>
      </x:c>
    </x:row>
    <x:row r="13">
      <x:c r="A13" s="18" t="str">
        <x:v>Арагон</x:v>
      </x:c>
      <x:c r="B13" s="18" t="str">
        <x:v>Иберия</x:v>
      </x:c>
      <x:c r="C13" s="18" t="str">
        <x:v>P4</x:v>
      </x:c>
      <x:c r="D13" s="22" t="n">
        <x:v>3200</x:v>
      </x:c>
      <x:c r="E13" s="22" t="n">
        <x:v>1</x:v>
      </x:c>
      <x:c r="F13" s="22" t="n">
        <x:v>14</x:v>
      </x:c>
      <x:c r="G13" s="22" t="n">
        <x:v>0.95</x:v>
      </x:c>
      <x:c r="H13" s="22" t="n">
        <x:v>1.15</x:v>
      </x:c>
      <x:c r="I13" s="22" t="n">
        <x:f>D13*1.5</x:f>
        <x:v>4800</x:v>
      </x:c>
      <x:c r="J13" s="22" t="n">
        <x:f>D13*2.5</x:f>
        <x:v>8000</x:v>
      </x:c>
      <x:c r="K13" s="22" t="n">
        <x:f>D13*3.5</x:f>
        <x:v>11200</x:v>
      </x:c>
      <x:c r="L13" s="22" t="n">
        <x:f>D13*4.5</x:f>
        <x:v>14400</x:v>
      </x:c>
      <x:c r="M13" s="22" t="n">
        <x:f>D13*5.5</x:f>
        <x:v>17600</x:v>
      </x:c>
      <x:c r="N13" s="22" t="n">
        <x:f>D13*7.5</x:f>
        <x:v>24000</x:v>
      </x:c>
      <x:c r="O13" s="22" t="n">
        <x:f>D13*9.5</x:f>
        <x:v>30400</x:v>
      </x:c>
      <x:c r="P13" s="18" t="str">
        <x:v>Долина Эбро и горные окраины</x:v>
      </x:c>
      <x:c r="Q13" s="18" t="str">
        <x:v>Профиль v1</x:v>
      </x:c>
    </x:row>
    <x:row r="14">
      <x:c r="A14" s="18" t="str">
        <x:v>Каталония</x:v>
      </x:c>
      <x:c r="B14" s="18" t="str">
        <x:v>Иберия</x:v>
      </x:c>
      <x:c r="C14" s="18" t="str">
        <x:v>P2</x:v>
      </x:c>
      <x:c r="D14" s="22" t="n">
        <x:v>1300</x:v>
      </x:c>
      <x:c r="E14" s="22" t="n">
        <x:v>1</x:v>
      </x:c>
      <x:c r="F14" s="22" t="n">
        <x:v>12</x:v>
      </x:c>
      <x:c r="G14" s="22" t="n">
        <x:v>1.65</x:v>
      </x:c>
      <x:c r="H14" s="22" t="n">
        <x:v>1.2</x:v>
      </x:c>
      <x:c r="I14" s="22" t="n">
        <x:f>D14*1.5</x:f>
        <x:v>1950</x:v>
      </x:c>
      <x:c r="J14" s="22" t="n">
        <x:f>D14*2.5</x:f>
        <x:v>3250</x:v>
      </x:c>
      <x:c r="K14" s="22" t="n">
        <x:f>D14*3.5</x:f>
        <x:v>4550</x:v>
      </x:c>
      <x:c r="L14" s="22" t="n">
        <x:f>D14*4.5</x:f>
        <x:v>5850</x:v>
      </x:c>
      <x:c r="M14" s="22" t="n">
        <x:f>D14*5.5</x:f>
        <x:v>7150</x:v>
      </x:c>
      <x:c r="N14" s="22" t="n">
        <x:f>D14*7.5</x:f>
        <x:v>9750</x:v>
      </x:c>
      <x:c r="O14" s="22" t="n">
        <x:f>D14*9.5</x:f>
        <x:v>12350</x:v>
      </x:c>
      <x:c r="P14" s="18" t="str">
        <x:v>Плотная портово-городская сеть</x:v>
      </x:c>
      <x:c r="Q14" s="18" t="str">
        <x:v>Профиль v1</x:v>
      </x:c>
    </x:row>
    <x:row r="15">
      <x:c r="A15" s="18" t="str">
        <x:v>Валенсия</x:v>
      </x:c>
      <x:c r="B15" s="18" t="str">
        <x:v>Иберия</x:v>
      </x:c>
      <x:c r="C15" s="18" t="str">
        <x:v>P2</x:v>
      </x:c>
      <x:c r="D15" s="22" t="n">
        <x:v>1450</x:v>
      </x:c>
      <x:c r="E15" s="22" t="n">
        <x:v>1</x:v>
      </x:c>
      <x:c r="F15" s="22" t="n">
        <x:v>12</x:v>
      </x:c>
      <x:c r="G15" s="22" t="n">
        <x:v>1.5</x:v>
      </x:c>
      <x:c r="H15" s="22" t="n">
        <x:v>1.15</x:v>
      </x:c>
      <x:c r="I15" s="22" t="n">
        <x:f>D15*1.5</x:f>
        <x:v>2175</x:v>
      </x:c>
      <x:c r="J15" s="22" t="n">
        <x:f>D15*2.5</x:f>
        <x:v>3625</x:v>
      </x:c>
      <x:c r="K15" s="22" t="n">
        <x:f>D15*3.5</x:f>
        <x:v>5075</x:v>
      </x:c>
      <x:c r="L15" s="22" t="n">
        <x:f>D15*4.5</x:f>
        <x:v>6525</x:v>
      </x:c>
      <x:c r="M15" s="22" t="n">
        <x:f>D15*5.5</x:f>
        <x:v>7975</x:v>
      </x:c>
      <x:c r="N15" s="22" t="n">
        <x:f>D15*7.5</x:f>
        <x:v>10875</x:v>
      </x:c>
      <x:c r="O15" s="22" t="n">
        <x:f>D15*9.5</x:f>
        <x:v>13775</x:v>
      </x:c>
      <x:c r="P15" s="18" t="str">
        <x:v>Плотная прибрежная аграрно-городская полоса</x:v>
      </x:c>
      <x:c r="Q15" s="18" t="str">
        <x:v>Профиль v1</x:v>
      </x:c>
    </x:row>
    <x:row r="16">
      <x:c r="A16" s="18" t="str">
        <x:v>Мурсия</x:v>
      </x:c>
      <x:c r="B16" s="18" t="str">
        <x:v>Иберия</x:v>
      </x:c>
      <x:c r="C16" s="18" t="str">
        <x:v>P3</x:v>
      </x:c>
      <x:c r="D16" s="22" t="n">
        <x:v>2200</x:v>
      </x:c>
      <x:c r="E16" s="22" t="n">
        <x:v>1</x:v>
      </x:c>
      <x:c r="F16" s="22" t="n">
        <x:v>10</x:v>
      </x:c>
      <x:c r="G16" s="22" t="n">
        <x:v>1.1</x:v>
      </x:c>
      <x:c r="H16" s="22" t="n">
        <x:v>1.1</x:v>
      </x:c>
      <x:c r="I16" s="22" t="n">
        <x:f>D16*1.5</x:f>
        <x:v>3300</x:v>
      </x:c>
      <x:c r="J16" s="22" t="n">
        <x:f>D16*2.5</x:f>
        <x:v>5500</x:v>
      </x:c>
      <x:c r="K16" s="22" t="n">
        <x:f>D16*3.5</x:f>
        <x:v>7700</x:v>
      </x:c>
      <x:c r="L16" s="22" t="n">
        <x:f>D16*4.5</x:f>
        <x:v>9900</x:v>
      </x:c>
      <x:c r="M16" s="22" t="n">
        <x:f>D16*5.5</x:f>
        <x:v>12100</x:v>
      </x:c>
      <x:c r="N16" s="22" t="n">
        <x:f>D16*7.5</x:f>
        <x:v>16500</x:v>
      </x:c>
      <x:c r="O16" s="22" t="n">
        <x:f>D16*9.5</x:f>
        <x:v>20900</x:v>
      </x:c>
      <x:c r="P16" s="18" t="str">
        <x:v>Прибрежные центры, более редкая внутренняя часть</x:v>
      </x:c>
      <x:c r="Q16" s="18" t="str">
        <x:v>Профиль v1</x:v>
      </x:c>
    </x:row>
    <x:row r="17">
      <x:c r="A17" s="18" t="str">
        <x:v>Верхняя Андалусия</x:v>
      </x:c>
      <x:c r="B17" s="18" t="str">
        <x:v>Иберия</x:v>
      </x:c>
      <x:c r="C17" s="18" t="str">
        <x:v>P3</x:v>
      </x:c>
      <x:c r="D17" s="22" t="n">
        <x:v>2300</x:v>
      </x:c>
      <x:c r="E17" s="22" t="n">
        <x:v>1</x:v>
      </x:c>
      <x:c r="F17" s="22" t="n">
        <x:v>14</x:v>
      </x:c>
      <x:c r="G17" s="22" t="n">
        <x:v>1.15</x:v>
      </x:c>
      <x:c r="H17" s="22" t="n">
        <x:v>1.25</x:v>
      </x:c>
      <x:c r="I17" s="22" t="n">
        <x:f>D17*1.5</x:f>
        <x:v>3450</x:v>
      </x:c>
      <x:c r="J17" s="22" t="n">
        <x:f>D17*2.5</x:f>
        <x:v>5750</x:v>
      </x:c>
      <x:c r="K17" s="22" t="n">
        <x:f>D17*3.5</x:f>
        <x:v>8050</x:v>
      </x:c>
      <x:c r="L17" s="22" t="n">
        <x:f>D17*4.5</x:f>
        <x:v>10350</x:v>
      </x:c>
      <x:c r="M17" s="22" t="n">
        <x:f>D17*5.5</x:f>
        <x:v>12650</x:v>
      </x:c>
      <x:c r="N17" s="22" t="n">
        <x:f>D17*7.5</x:f>
        <x:v>17250</x:v>
      </x:c>
      <x:c r="O17" s="22" t="n">
        <x:f>D17*9.5</x:f>
        <x:v>21850</x:v>
      </x:c>
      <x:c r="P17" s="18" t="str">
        <x:v>Горные системы, долины и исторические центры</x:v>
      </x:c>
      <x:c r="Q17" s="18" t="str">
        <x:v>Профиль v1</x:v>
      </x:c>
    </x:row>
    <x:row r="18">
      <x:c r="A18" s="18" t="str">
        <x:v>Нижняя Андалусия</x:v>
      </x:c>
      <x:c r="B18" s="18" t="str">
        <x:v>Иберия</x:v>
      </x:c>
      <x:c r="C18" s="18" t="str">
        <x:v>P2</x:v>
      </x:c>
      <x:c r="D18" s="22" t="n">
        <x:v>1700</x:v>
      </x:c>
      <x:c r="E18" s="22" t="n">
        <x:v>1</x:v>
      </x:c>
      <x:c r="F18" s="22" t="n">
        <x:v>14</x:v>
      </x:c>
      <x:c r="G18" s="22" t="n">
        <x:v>1.45</x:v>
      </x:c>
      <x:c r="H18" s="22" t="n">
        <x:v>1.15</x:v>
      </x:c>
      <x:c r="I18" s="22" t="n">
        <x:f>D18*1.5</x:f>
        <x:v>2550</x:v>
      </x:c>
      <x:c r="J18" s="22" t="n">
        <x:f>D18*2.5</x:f>
        <x:v>4250</x:v>
      </x:c>
      <x:c r="K18" s="22" t="n">
        <x:f>D18*3.5</x:f>
        <x:v>5950</x:v>
      </x:c>
      <x:c r="L18" s="22" t="n">
        <x:f>D18*4.5</x:f>
        <x:v>7650</x:v>
      </x:c>
      <x:c r="M18" s="22" t="n">
        <x:f>D18*5.5</x:f>
        <x:v>9350</x:v>
      </x:c>
      <x:c r="N18" s="22" t="n">
        <x:f>D18*7.5</x:f>
        <x:v>12750</x:v>
      </x:c>
      <x:c r="O18" s="22" t="n">
        <x:f>D18*9.5</x:f>
        <x:v>16150</x:v>
      </x:c>
      <x:c r="P18" s="18" t="str">
        <x:v>Гвадалквивир, Севилья, Кадис и порты</x:v>
      </x:c>
      <x:c r="Q18" s="18" t="str">
        <x:v>Профиль v1</x:v>
      </x:c>
    </x:row>
    <x:row r="19">
      <x:c r="A19" s="18" t="str">
        <x:v>Балеарские острова</x:v>
      </x:c>
      <x:c r="B19" s="18" t="str">
        <x:v>Иберия</x:v>
      </x:c>
      <x:c r="C19" s="18" t="str">
        <x:v>P1</x:v>
      </x:c>
      <x:c r="D19" s="22" t="n">
        <x:v>900</x:v>
      </x:c>
      <x:c r="E19" s="22" t="n">
        <x:v>1</x:v>
      </x:c>
      <x:c r="F19" s="22" t="n">
        <x:v>8</x:v>
      </x:c>
      <x:c r="G19" s="22" t="n">
        <x:v>1.3</x:v>
      </x:c>
      <x:c r="H19" s="22" t="n">
        <x:v>1.35</x:v>
      </x:c>
      <x:c r="I19" s="22" t="n">
        <x:f>D19*1.5</x:f>
        <x:v>1350</x:v>
      </x:c>
      <x:c r="J19" s="22" t="n">
        <x:f>D19*2.5</x:f>
        <x:v>2250</x:v>
      </x:c>
      <x:c r="K19" s="22" t="n">
        <x:f>D19*3.5</x:f>
        <x:v>3150</x:v>
      </x:c>
      <x:c r="L19" s="22" t="n">
        <x:f>D19*4.5</x:f>
        <x:v>4050</x:v>
      </x:c>
      <x:c r="M19" s="22" t="n">
        <x:f>D19*5.5</x:f>
        <x:v>4950</x:v>
      </x:c>
      <x:c r="N19" s="22" t="n">
        <x:f>D19*7.5</x:f>
        <x:v>6750</x:v>
      </x:c>
      <x:c r="O19" s="22" t="n">
        <x:f>D19*9.5</x:f>
        <x:v>8550</x:v>
      </x:c>
      <x:c r="P19" s="18" t="str">
        <x:v>Островная геометрия; отдельные острова и проливы</x:v>
      </x:c>
      <x:c r="Q19" s="18" t="str">
        <x:v>Профиль v1</x:v>
      </x:c>
    </x:row>
    <x:row r="20">
      <x:c r="A20" s="18" t="str">
        <x:v>Минью</x:v>
      </x:c>
      <x:c r="B20" s="18" t="str">
        <x:v>Иберия</x:v>
      </x:c>
      <x:c r="C20" s="18" t="str">
        <x:v>P2</x:v>
      </x:c>
      <x:c r="D20" s="22" t="n">
        <x:v>1350</x:v>
      </x:c>
      <x:c r="E20" s="22" t="n">
        <x:v>1</x:v>
      </x:c>
      <x:c r="F20" s="22" t="n">
        <x:v>10</x:v>
      </x:c>
      <x:c r="G20" s="22" t="n">
        <x:v>1.55</x:v>
      </x:c>
      <x:c r="H20" s="22" t="n">
        <x:v>1.15</x:v>
      </x:c>
      <x:c r="I20" s="22" t="n">
        <x:f>D20*1.5</x:f>
        <x:v>2025</x:v>
      </x:c>
      <x:c r="J20" s="22" t="n">
        <x:f>D20*2.5</x:f>
        <x:v>3375</x:v>
      </x:c>
      <x:c r="K20" s="22" t="n">
        <x:f>D20*3.5</x:f>
        <x:v>4725</x:v>
      </x:c>
      <x:c r="L20" s="22" t="n">
        <x:f>D20*4.5</x:f>
        <x:v>6075</x:v>
      </x:c>
      <x:c r="M20" s="22" t="n">
        <x:f>D20*5.5</x:f>
        <x:v>7425</x:v>
      </x:c>
      <x:c r="N20" s="22" t="n">
        <x:f>D20*7.5</x:f>
        <x:v>10125</x:v>
      </x:c>
      <x:c r="O20" s="22" t="n">
        <x:f>D20*9.5</x:f>
        <x:v>12825</x:v>
      </x:c>
      <x:c r="P20" s="18" t="str">
        <x:v>Очень плотная сеть Северной Португалии</x:v>
      </x:c>
      <x:c r="Q20" s="18" t="str">
        <x:v>Профиль v1</x:v>
      </x:c>
    </x:row>
    <x:row r="21">
      <x:c r="A21" s="18" t="str">
        <x:v>Траз-уш-Монтиш</x:v>
      </x:c>
      <x:c r="B21" s="18" t="str">
        <x:v>Иберия</x:v>
      </x:c>
      <x:c r="C21" s="18" t="str">
        <x:v>P4</x:v>
      </x:c>
      <x:c r="D21" s="22" t="n">
        <x:v>2800</x:v>
      </x:c>
      <x:c r="E21" s="22" t="n">
        <x:v>1</x:v>
      </x:c>
      <x:c r="F21" s="22" t="n">
        <x:v>10</x:v>
      </x:c>
      <x:c r="G21" s="22" t="n">
        <x:v>0.85</x:v>
      </x:c>
      <x:c r="H21" s="22" t="n">
        <x:v>1.2</x:v>
      </x:c>
      <x:c r="I21" s="22" t="n">
        <x:f>D21*1.5</x:f>
        <x:v>4200</x:v>
      </x:c>
      <x:c r="J21" s="22" t="n">
        <x:f>D21*2.5</x:f>
        <x:v>7000</x:v>
      </x:c>
      <x:c r="K21" s="22" t="n">
        <x:f>D21*3.5</x:f>
        <x:v>9800</x:v>
      </x:c>
      <x:c r="L21" s="22" t="n">
        <x:f>D21*4.5</x:f>
        <x:v>12600</x:v>
      </x:c>
      <x:c r="M21" s="22" t="n">
        <x:f>D21*5.5</x:f>
        <x:v>15400</x:v>
      </x:c>
      <x:c r="N21" s="22" t="n">
        <x:f>D21*7.5</x:f>
        <x:v>21000</x:v>
      </x:c>
      <x:c r="O21" s="22" t="n">
        <x:f>D21*9.5</x:f>
        <x:v>26600</x:v>
      </x:c>
      <x:c r="P21" s="18" t="str">
        <x:v>Горная внутренняя территория</x:v>
      </x:c>
      <x:c r="Q21" s="18" t="str">
        <x:v>Профиль v1</x:v>
      </x:c>
    </x:row>
    <x:row r="22">
      <x:c r="A22" s="18" t="str">
        <x:v>Бейра-Литорал</x:v>
      </x:c>
      <x:c r="B22" s="18" t="str">
        <x:v>Иберия</x:v>
      </x:c>
      <x:c r="C22" s="18" t="str">
        <x:v>P3</x:v>
      </x:c>
      <x:c r="D22" s="22" t="n">
        <x:v>1700</x:v>
      </x:c>
      <x:c r="E22" s="22" t="n">
        <x:v>1</x:v>
      </x:c>
      <x:c r="F22" s="22" t="n">
        <x:v>12</x:v>
      </x:c>
      <x:c r="G22" s="22" t="n">
        <x:v>1.35</x:v>
      </x:c>
      <x:c r="H22" s="22" t="n">
        <x:v>1.15</x:v>
      </x:c>
      <x:c r="I22" s="22" t="n">
        <x:f>D22*1.5</x:f>
        <x:v>2550</x:v>
      </x:c>
      <x:c r="J22" s="22" t="n">
        <x:f>D22*2.5</x:f>
        <x:v>4250</x:v>
      </x:c>
      <x:c r="K22" s="22" t="n">
        <x:f>D22*3.5</x:f>
        <x:v>5950</x:v>
      </x:c>
      <x:c r="L22" s="22" t="n">
        <x:f>D22*4.5</x:f>
        <x:v>7650</x:v>
      </x:c>
      <x:c r="M22" s="22" t="n">
        <x:f>D22*5.5</x:f>
        <x:v>9350</x:v>
      </x:c>
      <x:c r="N22" s="22" t="n">
        <x:f>D22*7.5</x:f>
        <x:v>12750</x:v>
      </x:c>
      <x:c r="O22" s="22" t="n">
        <x:f>D22*9.5</x:f>
        <x:v>16150</x:v>
      </x:c>
      <x:c r="P22" s="18" t="str">
        <x:v>Плотное побережье и речные долины</x:v>
      </x:c>
      <x:c r="Q22" s="18" t="str">
        <x:v>Профиль v1</x:v>
      </x:c>
    </x:row>
    <x:row r="23">
      <x:c r="A23" s="18" t="str">
        <x:v>Бейра-Интериор</x:v>
      </x:c>
      <x:c r="B23" s="18" t="str">
        <x:v>Иберия</x:v>
      </x:c>
      <x:c r="C23" s="18" t="str">
        <x:v>P4</x:v>
      </x:c>
      <x:c r="D23" s="22" t="n">
        <x:v>3000</x:v>
      </x:c>
      <x:c r="E23" s="22" t="n">
        <x:v>1</x:v>
      </x:c>
      <x:c r="F23" s="22" t="n">
        <x:v>10</x:v>
      </x:c>
      <x:c r="G23" s="22" t="n">
        <x:v>0.85</x:v>
      </x:c>
      <x:c r="H23" s="22" t="n">
        <x:v>1.15</x:v>
      </x:c>
      <x:c r="I23" s="22" t="n">
        <x:f>D23*1.5</x:f>
        <x:v>4500</x:v>
      </x:c>
      <x:c r="J23" s="22" t="n">
        <x:f>D23*2.5</x:f>
        <x:v>7500</x:v>
      </x:c>
      <x:c r="K23" s="22" t="n">
        <x:f>D23*3.5</x:f>
        <x:v>10500</x:v>
      </x:c>
      <x:c r="L23" s="22" t="n">
        <x:f>D23*4.5</x:f>
        <x:v>13500</x:v>
      </x:c>
      <x:c r="M23" s="22" t="n">
        <x:f>D23*5.5</x:f>
        <x:v>16500</x:v>
      </x:c>
      <x:c r="N23" s="22" t="n">
        <x:f>D23*7.5</x:f>
        <x:v>22500</x:v>
      </x:c>
      <x:c r="O23" s="22" t="n">
        <x:f>D23*9.5</x:f>
        <x:v>28500</x:v>
      </x:c>
      <x:c r="P23" s="18" t="str">
        <x:v>Внутренняя горная и платообразная часть</x:v>
      </x:c>
      <x:c r="Q23" s="18" t="str">
        <x:v>Профиль v1</x:v>
      </x:c>
    </x:row>
    <x:row r="24">
      <x:c r="A24" s="18" t="str">
        <x:v>Эштремадура-и-Рибатежу</x:v>
      </x:c>
      <x:c r="B24" s="18" t="str">
        <x:v>Иберия</x:v>
      </x:c>
      <x:c r="C24" s="18" t="str">
        <x:v>P2</x:v>
      </x:c>
      <x:c r="D24" s="22" t="n">
        <x:v>1500</x:v>
      </x:c>
      <x:c r="E24" s="22" t="n">
        <x:v>1</x:v>
      </x:c>
      <x:c r="F24" s="22" t="n">
        <x:v>12</x:v>
      </x:c>
      <x:c r="G24" s="22" t="n">
        <x:v>1.55</x:v>
      </x:c>
      <x:c r="H24" s="22" t="n">
        <x:v>1.15</x:v>
      </x:c>
      <x:c r="I24" s="22" t="n">
        <x:f>D24*1.5</x:f>
        <x:v>2250</x:v>
      </x:c>
      <x:c r="J24" s="22" t="n">
        <x:f>D24*2.5</x:f>
        <x:v>3750</x:v>
      </x:c>
      <x:c r="K24" s="22" t="n">
        <x:f>D24*3.5</x:f>
        <x:v>5250</x:v>
      </x:c>
      <x:c r="L24" s="22" t="n">
        <x:f>D24*4.5</x:f>
        <x:v>6750</x:v>
      </x:c>
      <x:c r="M24" s="22" t="n">
        <x:f>D24*5.5</x:f>
        <x:v>8250</x:v>
      </x:c>
      <x:c r="N24" s="22" t="n">
        <x:f>D24*7.5</x:f>
        <x:v>11250</x:v>
      </x:c>
      <x:c r="O24" s="22" t="n">
        <x:f>D24*9.5</x:f>
        <x:v>14250</x:v>
      </x:c>
      <x:c r="P24" s="18" t="str">
        <x:v>Лиссабон, Тежу и плотная прибрежная система</x:v>
      </x:c>
      <x:c r="Q24" s="18" t="str">
        <x:v>Профиль v1</x:v>
      </x:c>
    </x:row>
    <x:row r="25">
      <x:c r="A25" s="18" t="str">
        <x:v>Алентежу</x:v>
      </x:c>
      <x:c r="B25" s="18" t="str">
        <x:v>Иберия</x:v>
      </x:c>
      <x:c r="C25" s="18" t="str">
        <x:v>P4</x:v>
      </x:c>
      <x:c r="D25" s="22" t="n">
        <x:v>4000</x:v>
      </x:c>
      <x:c r="E25" s="22" t="n">
        <x:v>1</x:v>
      </x:c>
      <x:c r="F25" s="22" t="n">
        <x:v>12</x:v>
      </x:c>
      <x:c r="G25" s="22" t="n">
        <x:v>0.7</x:v>
      </x:c>
      <x:c r="H25" s="22" t="n">
        <x:v>0.95</x:v>
      </x:c>
      <x:c r="I25" s="22" t="n">
        <x:f>D25*1.5</x:f>
        <x:v>6000</x:v>
      </x:c>
      <x:c r="J25" s="22" t="n">
        <x:f>D25*2.5</x:f>
        <x:v>10000</x:v>
      </x:c>
      <x:c r="K25" s="22" t="n">
        <x:f>D25*3.5</x:f>
        <x:v>14000</x:v>
      </x:c>
      <x:c r="L25" s="22" t="n">
        <x:f>D25*4.5</x:f>
        <x:v>18000</x:v>
      </x:c>
      <x:c r="M25" s="22" t="n">
        <x:f>D25*5.5</x:f>
        <x:v>22000</x:v>
      </x:c>
      <x:c r="N25" s="22" t="n">
        <x:f>D25*7.5</x:f>
        <x:v>30000</x:v>
      </x:c>
      <x:c r="O25" s="22" t="n">
        <x:f>D25*9.5</x:f>
        <x:v>38000</x:v>
      </x:c>
      <x:c r="P25" s="18" t="str">
        <x:v>Крупные сельскохозяйственные пространства</x:v>
      </x:c>
      <x:c r="Q25" s="18" t="str">
        <x:v>Профиль v1</x:v>
      </x:c>
    </x:row>
    <x:row r="26">
      <x:c r="A26" s="18" t="str">
        <x:v>Алгарве</x:v>
      </x:c>
      <x:c r="B26" s="18" t="str">
        <x:v>Иберия</x:v>
      </x:c>
      <x:c r="C26" s="18" t="str">
        <x:v>P3</x:v>
      </x:c>
      <x:c r="D26" s="22" t="n">
        <x:v>1700</x:v>
      </x:c>
      <x:c r="E26" s="22" t="n">
        <x:v>1</x:v>
      </x:c>
      <x:c r="F26" s="22" t="n">
        <x:v>10</x:v>
      </x:c>
      <x:c r="G26" s="22" t="n">
        <x:v>1.2</x:v>
      </x:c>
      <x:c r="H26" s="22" t="n">
        <x:v>1.2</x:v>
      </x:c>
      <x:c r="I26" s="22" t="n">
        <x:f>D26*1.5</x:f>
        <x:v>2550</x:v>
      </x:c>
      <x:c r="J26" s="22" t="n">
        <x:f>D26*2.5</x:f>
        <x:v>4250</x:v>
      </x:c>
      <x:c r="K26" s="22" t="n">
        <x:f>D26*3.5</x:f>
        <x:v>5950</x:v>
      </x:c>
      <x:c r="L26" s="22" t="n">
        <x:f>D26*4.5</x:f>
        <x:v>7650</x:v>
      </x:c>
      <x:c r="M26" s="22" t="n">
        <x:f>D26*5.5</x:f>
        <x:v>9350</x:v>
      </x:c>
      <x:c r="N26" s="22" t="n">
        <x:f>D26*7.5</x:f>
        <x:v>12750</x:v>
      </x:c>
      <x:c r="O26" s="22" t="n">
        <x:f>D26*9.5</x:f>
        <x:v>16150</x:v>
      </x:c>
      <x:c r="P26" s="18" t="str">
        <x:v>Узкая прибрежная полоса с портами</x:v>
      </x:c>
      <x:c r="Q26" s="18" t="str">
        <x:v>Профиль v1</x:v>
      </x:c>
    </x:row>
  </x:sheetData>
  <x:mergeCells>
    <x:mergeCell ref="A1:Q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7" hidden="0" customWidth="1"/>
    <x:col min="3" max="3" width="13" hidden="0" customWidth="1"/>
    <x:col min="4" max="4" width="10" hidden="0" customWidth="1"/>
    <x:col min="5" max="5" width="12" hidden="0" customWidth="1"/>
    <x:col min="6" max="6" width="8" hidden="0" customWidth="1"/>
    <x:col min="7" max="7" width="8" hidden="0" customWidth="1"/>
    <x:col min="8" max="8" width="18" hidden="0" customWidth="1"/>
    <x:col min="9" max="9" width="14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50" hidden="0" customWidth="1"/>
    <x:col min="18" max="18" width="20" hidden="0" customWidth="1"/>
    <x:col min="19" max="19" width="28" hidden="0" customWidth="1"/>
  </x:cols>
  <x:sheetData>
    <x:row r="1">
      <x:c r="A1" s="4" t="str">
        <x:v>Проектный каталог регионов мира и правила размера клеток — версия 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3">
      <x:c r="A3" s="12" t="str">
        <x:v>Регион/зона</x:v>
      </x:c>
      <x:c r="B3" s="12" t="str">
        <x:v>Макрорегион</x:v>
      </x:c>
      <x:c r="C3" s="12" t="str">
        <x:v>Континент</x:v>
      </x:c>
      <x:c r="D3" s="12" t="str">
        <x:v>Профиль</x:v>
      </x:c>
      <x:c r="E3" s="12" t="str">
        <x:v>Цель, км²</x:v>
      </x:c>
      <x:c r="F3" s="12" t="str">
        <x:v>Мин</x:v>
      </x:c>
      <x:c r="G3" s="12" t="str">
        <x:v>Макс</x:v>
      </x:c>
      <x:c r="H3" s="12" t="str">
        <x:v>Историческая плотность</x:v>
      </x:c>
      <x:c r="I3" s="12" t="str">
        <x:v>Геосложность</x:v>
      </x:c>
      <x:c r="J3" s="12" t="str">
        <x:v>От 2 клеток</x:v>
      </x:c>
      <x:c r="K3" s="12" t="str">
        <x:v>От 3</x:v>
      </x:c>
      <x:c r="L3" s="12" t="str">
        <x:v>От 4</x:v>
      </x:c>
      <x:c r="M3" s="12" t="str">
        <x:v>От 5</x:v>
      </x:c>
      <x:c r="N3" s="12" t="str">
        <x:v>От 6</x:v>
      </x:c>
      <x:c r="O3" s="12" t="str">
        <x:v>От 8</x:v>
      </x:c>
      <x:c r="P3" s="12" t="str">
        <x:v>От 10</x:v>
      </x:c>
      <x:c r="Q3" s="12" t="str">
        <x:v>Примечание</x:v>
      </x:c>
      <x:c r="R3" s="12" t="str">
        <x:v>Статус</x:v>
      </x:c>
      <x:c r="S3" s="12" t="str">
        <x:v>Источник</x:v>
      </x:c>
    </x:row>
    <x:row r="4">
      <x:c r="A4" s="18" t="str">
        <x:v>Фландрия</x:v>
      </x:c>
      <x:c r="B4" s="18" t="str">
        <x:v>Низкие земли</x:v>
      </x:c>
      <x:c r="C4" s="18" t="str">
        <x:v>Европа</x:v>
      </x:c>
      <x:c r="D4" s="18" t="str">
        <x:v>P1</x:v>
      </x:c>
      <x:c r="E4" s="22" t="n">
        <x:v>650</x:v>
      </x:c>
      <x:c r="F4" s="22" t="n">
        <x:v>1</x:v>
      </x:c>
      <x:c r="G4" s="22" t="n">
        <x:v>10</x:v>
      </x:c>
      <x:c r="H4" s="22" t="n">
        <x:v>2</x:v>
      </x:c>
      <x:c r="I4" s="22" t="n">
        <x:v>1.1</x:v>
      </x:c>
      <x:c r="J4" s="22" t="n">
        <x:f>E4*1.5</x:f>
        <x:v>975</x:v>
      </x:c>
      <x:c r="K4" s="22" t="n">
        <x:f>E4*2.5</x:f>
        <x:v>1625</x:v>
      </x:c>
      <x:c r="L4" s="22" t="n">
        <x:f>E4*3.5</x:f>
        <x:v>2275</x:v>
      </x:c>
      <x:c r="M4" s="22" t="n">
        <x:f>E4*4.5</x:f>
        <x:v>2925</x:v>
      </x:c>
      <x:c r="N4" s="22" t="n">
        <x:f>E4*5.5</x:f>
        <x:v>3575</x:v>
      </x:c>
      <x:c r="O4" s="22" t="n">
        <x:f>E4*7.5</x:f>
        <x:v>4875</x:v>
      </x:c>
      <x:c r="P4" s="22" t="n">
        <x:f>E4*9.5</x:f>
        <x:v>6175</x:v>
      </x:c>
      <x:c r="Q4" s="18" t="str">
        <x:v>Одно из самых плотных исторических ядер</x:v>
      </x:c>
      <x:c r="R4" s="18" t="str">
        <x:v>Проектный профиль v1</x:v>
      </x:c>
      <x:c r="S4" s="18" t="str">
        <x:v>Экспертная классификация проекта</x:v>
      </x:c>
    </x:row>
    <x:row r="5">
      <x:c r="A5" s="18" t="str">
        <x:v>Голландия и Зеландия</x:v>
      </x:c>
      <x:c r="B5" s="18" t="str">
        <x:v>Низкие земли</x:v>
      </x:c>
      <x:c r="C5" s="18" t="str">
        <x:v>Европа</x:v>
      </x:c>
      <x:c r="D5" s="18" t="str">
        <x:v>P1</x:v>
      </x:c>
      <x:c r="E5" s="22" t="n">
        <x:v>700</x:v>
      </x:c>
      <x:c r="F5" s="22" t="n">
        <x:v>1</x:v>
      </x:c>
      <x:c r="G5" s="22" t="n">
        <x:v>10</x:v>
      </x:c>
      <x:c r="H5" s="22" t="n">
        <x:v>1.9</x:v>
      </x:c>
      <x:c r="I5" s="22" t="n">
        <x:v>1.25</x:v>
      </x:c>
      <x:c r="J5" s="22" t="n">
        <x:f>E5*1.5</x:f>
        <x:v>1050</x:v>
      </x:c>
      <x:c r="K5" s="22" t="n">
        <x:f>E5*2.5</x:f>
        <x:v>1750</x:v>
      </x:c>
      <x:c r="L5" s="22" t="n">
        <x:f>E5*3.5</x:f>
        <x:v>2450</x:v>
      </x:c>
      <x:c r="M5" s="22" t="n">
        <x:f>E5*4.5</x:f>
        <x:v>3150</x:v>
      </x:c>
      <x:c r="N5" s="22" t="n">
        <x:f>E5*5.5</x:f>
        <x:v>3850</x:v>
      </x:c>
      <x:c r="O5" s="22" t="n">
        <x:f>E5*7.5</x:f>
        <x:v>5250</x:v>
      </x:c>
      <x:c r="P5" s="22" t="n">
        <x:f>E5*9.5</x:f>
        <x:v>6650</x:v>
      </x:c>
      <x:c r="Q5" s="18" t="str">
        <x:v>Дельты, острова, города и порты</x:v>
      </x:c>
      <x:c r="R5" s="18" t="str">
        <x:v>Проектный профиль v1</x:v>
      </x:c>
      <x:c r="S5" s="18" t="str">
        <x:v>Экспертная классификация проекта</x:v>
      </x:c>
    </x:row>
    <x:row r="6">
      <x:c r="A6" s="18" t="str">
        <x:v>Брабант</x:v>
      </x:c>
      <x:c r="B6" s="18" t="str">
        <x:v>Низкие земли</x:v>
      </x:c>
      <x:c r="C6" s="18" t="str">
        <x:v>Европа</x:v>
      </x:c>
      <x:c r="D6" s="18" t="str">
        <x:v>P1</x:v>
      </x:c>
      <x:c r="E6" s="22" t="n">
        <x:v>800</x:v>
      </x:c>
      <x:c r="F6" s="22" t="n">
        <x:v>1</x:v>
      </x:c>
      <x:c r="G6" s="22" t="n">
        <x:v>10</x:v>
      </x:c>
      <x:c r="H6" s="22" t="n">
        <x:v>1.85</x:v>
      </x:c>
      <x:c r="I6" s="22" t="n">
        <x:v>1.1</x:v>
      </x:c>
      <x:c r="J6" s="22" t="n">
        <x:f>E6*1.5</x:f>
        <x:v>1200</x:v>
      </x:c>
      <x:c r="K6" s="22" t="n">
        <x:f>E6*2.5</x:f>
        <x:v>2000</x:v>
      </x:c>
      <x:c r="L6" s="22" t="n">
        <x:f>E6*3.5</x:f>
        <x:v>2800</x:v>
      </x:c>
      <x:c r="M6" s="22" t="n">
        <x:f>E6*4.5</x:f>
        <x:v>3600</x:v>
      </x:c>
      <x:c r="N6" s="22" t="n">
        <x:f>E6*5.5</x:f>
        <x:v>4400</x:v>
      </x:c>
      <x:c r="O6" s="22" t="n">
        <x:f>E6*7.5</x:f>
        <x:v>6000</x:v>
      </x:c>
      <x:c r="P6" s="22" t="n">
        <x:f>E6*9.5</x:f>
        <x:v>7600</x:v>
      </x:c>
      <x:c r="Q6" s="18" t="str">
        <x:v>Плотная городская сеть</x:v>
      </x:c>
      <x:c r="R6" s="18" t="str">
        <x:v>Проектный профиль v1</x:v>
      </x:c>
      <x:c r="S6" s="18" t="str">
        <x:v>Экспертная классификация проекта</x:v>
      </x:c>
    </x:row>
    <x:row r="7">
      <x:c r="A7" s="18" t="str">
        <x:v>Валлония</x:v>
      </x:c>
      <x:c r="B7" s="18" t="str">
        <x:v>Низкие земли</x:v>
      </x:c>
      <x:c r="C7" s="18" t="str">
        <x:v>Европа</x:v>
      </x:c>
      <x:c r="D7" s="18" t="str">
        <x:v>P2</x:v>
      </x:c>
      <x:c r="E7" s="22" t="n">
        <x:v>1400</x:v>
      </x:c>
      <x:c r="F7" s="22" t="n">
        <x:v>1</x:v>
      </x:c>
      <x:c r="G7" s="22" t="n">
        <x:v>12</x:v>
      </x:c>
      <x:c r="H7" s="22" t="n">
        <x:v>1.35</x:v>
      </x:c>
      <x:c r="I7" s="22" t="n">
        <x:v>1.15</x:v>
      </x:c>
      <x:c r="J7" s="22" t="n">
        <x:f>E7*1.5</x:f>
        <x:v>2100</x:v>
      </x:c>
      <x:c r="K7" s="22" t="n">
        <x:f>E7*2.5</x:f>
        <x:v>3500</x:v>
      </x:c>
      <x:c r="L7" s="22" t="n">
        <x:f>E7*3.5</x:f>
        <x:v>4900</x:v>
      </x:c>
      <x:c r="M7" s="22" t="n">
        <x:f>E7*4.5</x:f>
        <x:v>6300</x:v>
      </x:c>
      <x:c r="N7" s="22" t="n">
        <x:f>E7*5.5</x:f>
        <x:v>7700</x:v>
      </x:c>
      <x:c r="O7" s="22" t="n">
        <x:f>E7*7.5</x:f>
        <x:v>10500</x:v>
      </x:c>
      <x:c r="P7" s="22" t="n">
        <x:f>E7*9.5</x:f>
        <x:v>13300</x:v>
      </x:c>
      <x:c r="Q7" s="18" t="str">
        <x:v>Холмы, долины и городская плотность</x:v>
      </x:c>
      <x:c r="R7" s="18" t="str">
        <x:v>Проектный профиль v1</x:v>
      </x:c>
      <x:c r="S7" s="18" t="str">
        <x:v>Экспертная классификация проекта</x:v>
      </x:c>
    </x:row>
    <x:row r="8">
      <x:c r="A8" s="18" t="str">
        <x:v>Люксембург</x:v>
      </x:c>
      <x:c r="B8" s="18" t="str">
        <x:v>Низкие земли</x:v>
      </x:c>
      <x:c r="C8" s="18" t="str">
        <x:v>Европа</x:v>
      </x:c>
      <x:c r="D8" s="18" t="str">
        <x:v>P2</x:v>
      </x:c>
      <x:c r="E8" s="22" t="n">
        <x:v>1200</x:v>
      </x:c>
      <x:c r="F8" s="22" t="n">
        <x:v>1</x:v>
      </x:c>
      <x:c r="G8" s="22" t="n">
        <x:v>8</x:v>
      </x:c>
      <x:c r="H8" s="22" t="n">
        <x:v>1.3</x:v>
      </x:c>
      <x:c r="I8" s="22" t="n">
        <x:v>1.15</x:v>
      </x:c>
      <x:c r="J8" s="22" t="n">
        <x:f>E8*1.5</x:f>
        <x:v>1800</x:v>
      </x:c>
      <x:c r="K8" s="22" t="n">
        <x:f>E8*2.5</x:f>
        <x:v>3000</x:v>
      </x:c>
      <x:c r="L8" s="22" t="n">
        <x:f>E8*3.5</x:f>
        <x:v>4200</x:v>
      </x:c>
      <x:c r="M8" s="22" t="n">
        <x:f>E8*4.5</x:f>
        <x:v>5400</x:v>
      </x:c>
      <x:c r="N8" s="22" t="n">
        <x:f>E8*5.5</x:f>
        <x:v>6600</x:v>
      </x:c>
      <x:c r="O8" s="22" t="n">
        <x:f>E8*7.5</x:f>
        <x:v>9000</x:v>
      </x:c>
      <x:c r="P8" s="22" t="n">
        <x:f>E8*9.5</x:f>
        <x:v>11400</x:v>
      </x:c>
      <x:c r="Q8" s="18" t="str">
        <x:v>Малая, но исторически насыщенная территория</x:v>
      </x:c>
      <x:c r="R8" s="18" t="str">
        <x:v>Проектный профиль v1</x:v>
      </x:c>
      <x:c r="S8" s="18" t="str">
        <x:v>Экспертная классификация проекта</x:v>
      </x:c>
    </x:row>
    <x:row r="9">
      <x:c r="A9" s="18" t="str">
        <x:v>Большой Лондон</x:v>
      </x:c>
      <x:c r="B9" s="18" t="str">
        <x:v>Британские острова</x:v>
      </x:c>
      <x:c r="C9" s="18" t="str">
        <x:v>Европа</x:v>
      </x:c>
      <x:c r="D9" s="18" t="str">
        <x:v>P0</x:v>
      </x:c>
      <x:c r="E9" s="22" t="n">
        <x:v>450</x:v>
      </x:c>
      <x:c r="F9" s="22" t="n">
        <x:v>4</x:v>
      </x:c>
      <x:c r="G9" s="22" t="n">
        <x:v>7</x:v>
      </x:c>
      <x:c r="H9" s="22" t="n">
        <x:v>2.5</x:v>
      </x:c>
      <x:c r="I9" s="22" t="n">
        <x:v>1.05</x:v>
      </x:c>
      <x:c r="J9" s="22" t="n">
        <x:f>E9*1.5</x:f>
        <x:v>675</x:v>
      </x:c>
      <x:c r="K9" s="22" t="n">
        <x:f>E9*2.5</x:f>
        <x:v>1125</x:v>
      </x:c>
      <x:c r="L9" s="22" t="n">
        <x:f>E9*3.5</x:f>
        <x:v>1575</x:v>
      </x:c>
      <x:c r="M9" s="22" t="n">
        <x:f>E9*4.5</x:f>
        <x:v>2025</x:v>
      </x:c>
      <x:c r="N9" s="22" t="n">
        <x:f>E9*5.5</x:f>
        <x:v>2475</x:v>
      </x:c>
      <x:c r="O9" s="22" t="n">
        <x:f>E9*7.5</x:f>
        <x:v>3375</x:v>
      </x:c>
      <x:c r="P9" s="22" t="n">
        <x:f>E9*9.5</x:f>
        <x:v>4275</x:v>
      </x:c>
      <x:c r="Q9" s="18" t="str">
        <x:v>Метропольный override: минимум 4–5 клеток</x:v>
      </x:c>
      <x:c r="R9" s="18" t="str">
        <x:v>Проектный профиль v1</x:v>
      </x:c>
      <x:c r="S9" s="18" t="str">
        <x:v>Экспертная классификация проекта</x:v>
      </x:c>
    </x:row>
    <x:row r="10">
      <x:c r="A10" s="18" t="str">
        <x:v>Юго-Восточная Англия</x:v>
      </x:c>
      <x:c r="B10" s="18" t="str">
        <x:v>Британские острова</x:v>
      </x:c>
      <x:c r="C10" s="18" t="str">
        <x:v>Европа</x:v>
      </x:c>
      <x:c r="D10" s="18" t="str">
        <x:v>P2</x:v>
      </x:c>
      <x:c r="E10" s="22" t="n">
        <x:v>1300</x:v>
      </x:c>
      <x:c r="F10" s="22" t="n">
        <x:v>1</x:v>
      </x:c>
      <x:c r="G10" s="22" t="n">
        <x:v>12</x:v>
      </x:c>
      <x:c r="H10" s="22" t="n">
        <x:v>1.6</x:v>
      </x:c>
      <x:c r="I10" s="22" t="n">
        <x:v>1.05</x:v>
      </x:c>
      <x:c r="J10" s="22" t="n">
        <x:f>E10*1.5</x:f>
        <x:v>1950</x:v>
      </x:c>
      <x:c r="K10" s="22" t="n">
        <x:f>E10*2.5</x:f>
        <x:v>3250</x:v>
      </x:c>
      <x:c r="L10" s="22" t="n">
        <x:f>E10*3.5</x:f>
        <x:v>4550</x:v>
      </x:c>
      <x:c r="M10" s="22" t="n">
        <x:f>E10*4.5</x:f>
        <x:v>5850</x:v>
      </x:c>
      <x:c r="N10" s="22" t="n">
        <x:f>E10*5.5</x:f>
        <x:v>7150</x:v>
      </x:c>
      <x:c r="O10" s="22" t="n">
        <x:f>E10*7.5</x:f>
        <x:v>9750</x:v>
      </x:c>
      <x:c r="P10" s="22" t="n">
        <x:f>E10*9.5</x:f>
        <x:v>12350</x:v>
      </x:c>
      <x:c r="Q10" s="18" t="str">
        <x:v>Плотная сеть городов и дорог</x:v>
      </x:c>
      <x:c r="R10" s="18" t="str">
        <x:v>Проектный профиль v1</x:v>
      </x:c>
      <x:c r="S10" s="18" t="str">
        <x:v>Экспертная классификация проекта</x:v>
      </x:c>
    </x:row>
    <x:row r="11">
      <x:c r="A11" s="18" t="str">
        <x:v>Юго-Западная Англия</x:v>
      </x:c>
      <x:c r="B11" s="18" t="str">
        <x:v>Британские острова</x:v>
      </x:c>
      <x:c r="C11" s="18" t="str">
        <x:v>Европа</x:v>
      </x:c>
      <x:c r="D11" s="18" t="str">
        <x:v>P3</x:v>
      </x:c>
      <x:c r="E11" s="22" t="n">
        <x:v>1800</x:v>
      </x:c>
      <x:c r="F11" s="22" t="n">
        <x:v>1</x:v>
      </x:c>
      <x:c r="G11" s="22" t="n">
        <x:v>12</x:v>
      </x:c>
      <x:c r="H11" s="22" t="n">
        <x:v>1.25</x:v>
      </x:c>
      <x:c r="I11" s="22" t="n">
        <x:v>1.2</x:v>
      </x:c>
      <x:c r="J11" s="22" t="n">
        <x:f>E11*1.5</x:f>
        <x:v>2700</x:v>
      </x:c>
      <x:c r="K11" s="22" t="n">
        <x:f>E11*2.5</x:f>
        <x:v>4500</x:v>
      </x:c>
      <x:c r="L11" s="22" t="n">
        <x:f>E11*3.5</x:f>
        <x:v>6300</x:v>
      </x:c>
      <x:c r="M11" s="22" t="n">
        <x:f>E11*4.5</x:f>
        <x:v>8100</x:v>
      </x:c>
      <x:c r="N11" s="22" t="n">
        <x:f>E11*5.5</x:f>
        <x:v>9900</x:v>
      </x:c>
      <x:c r="O11" s="22" t="n">
        <x:f>E11*7.5</x:f>
        <x:v>13500</x:v>
      </x:c>
      <x:c r="P11" s="22" t="n">
        <x:f>E11*9.5</x:f>
        <x:v>17100</x:v>
      </x:c>
      <x:c r="Q11" s="18" t="str">
        <x:v>Полуострова и сложное побережье</x:v>
      </x:c>
      <x:c r="R11" s="18" t="str">
        <x:v>Проектный профиль v1</x:v>
      </x:c>
      <x:c r="S11" s="18" t="str">
        <x:v>Экспертная классификация проекта</x:v>
      </x:c>
    </x:row>
    <x:row r="12">
      <x:c r="A12" s="18" t="str">
        <x:v>Мидлендс</x:v>
      </x:c>
      <x:c r="B12" s="18" t="str">
        <x:v>Британские острова</x:v>
      </x:c>
      <x:c r="C12" s="18" t="str">
        <x:v>Европа</x:v>
      </x:c>
      <x:c r="D12" s="18" t="str">
        <x:v>P3</x:v>
      </x:c>
      <x:c r="E12" s="22" t="n">
        <x:v>1700</x:v>
      </x:c>
      <x:c r="F12" s="22" t="n">
        <x:v>1</x:v>
      </x:c>
      <x:c r="G12" s="22" t="n">
        <x:v>12</x:v>
      </x:c>
      <x:c r="H12" s="22" t="n">
        <x:v>1.4</x:v>
      </x:c>
      <x:c r="I12" s="22" t="n">
        <x:v>1.05</x:v>
      </x:c>
      <x:c r="J12" s="22" t="n">
        <x:f>E12*1.5</x:f>
        <x:v>2550</x:v>
      </x:c>
      <x:c r="K12" s="22" t="n">
        <x:f>E12*2.5</x:f>
        <x:v>4250</x:v>
      </x:c>
      <x:c r="L12" s="22" t="n">
        <x:f>E12*3.5</x:f>
        <x:v>5950</x:v>
      </x:c>
      <x:c r="M12" s="22" t="n">
        <x:f>E12*4.5</x:f>
        <x:v>7650</x:v>
      </x:c>
      <x:c r="N12" s="22" t="n">
        <x:f>E12*5.5</x:f>
        <x:v>9350</x:v>
      </x:c>
      <x:c r="O12" s="22" t="n">
        <x:f>E12*7.5</x:f>
        <x:v>12750</x:v>
      </x:c>
      <x:c r="P12" s="22" t="n">
        <x:f>E12*9.5</x:f>
        <x:v>16150</x:v>
      </x:c>
      <x:c r="Q12" s="18" t="str">
        <x:v>Развитое историческое ядро</x:v>
      </x:c>
      <x:c r="R12" s="18" t="str">
        <x:v>Проектный профиль v1</x:v>
      </x:c>
      <x:c r="S12" s="18" t="str">
        <x:v>Экспертная классификация проекта</x:v>
      </x:c>
    </x:row>
    <x:row r="13">
      <x:c r="A13" s="18" t="str">
        <x:v>Северная Англия</x:v>
      </x:c>
      <x:c r="B13" s="18" t="str">
        <x:v>Британские острова</x:v>
      </x:c>
      <x:c r="C13" s="18" t="str">
        <x:v>Европа</x:v>
      </x:c>
      <x:c r="D13" s="18" t="str">
        <x:v>P3</x:v>
      </x:c>
      <x:c r="E13" s="22" t="n">
        <x:v>2200</x:v>
      </x:c>
      <x:c r="F13" s="22" t="n">
        <x:v>1</x:v>
      </x:c>
      <x:c r="G13" s="22" t="n">
        <x:v>12</x:v>
      </x:c>
      <x:c r="H13" s="22" t="n">
        <x:v>1.1</x:v>
      </x:c>
      <x:c r="I13" s="22" t="n">
        <x:v>1.15</x:v>
      </x:c>
      <x:c r="J13" s="22" t="n">
        <x:f>E13*1.5</x:f>
        <x:v>3300</x:v>
      </x:c>
      <x:c r="K13" s="22" t="n">
        <x:f>E13*2.5</x:f>
        <x:v>5500</x:v>
      </x:c>
      <x:c r="L13" s="22" t="n">
        <x:f>E13*3.5</x:f>
        <x:v>7700</x:v>
      </x:c>
      <x:c r="M13" s="22" t="n">
        <x:f>E13*4.5</x:f>
        <x:v>9900</x:v>
      </x:c>
      <x:c r="N13" s="22" t="n">
        <x:f>E13*5.5</x:f>
        <x:v>12100</x:v>
      </x:c>
      <x:c r="O13" s="22" t="n">
        <x:f>E13*7.5</x:f>
        <x:v>16500</x:v>
      </x:c>
      <x:c r="P13" s="22" t="n">
        <x:f>E13*9.5</x:f>
        <x:v>20900</x:v>
      </x:c>
      <x:c r="Q13" s="18" t="str">
        <x:v>Долины, холмы и крупные центры</x:v>
      </x:c>
      <x:c r="R13" s="18" t="str">
        <x:v>Проектный профиль v1</x:v>
      </x:c>
      <x:c r="S13" s="18" t="str">
        <x:v>Экспертная классификация проекта</x:v>
      </x:c>
    </x:row>
    <x:row r="14">
      <x:c r="A14" s="18" t="str">
        <x:v>Уэльс</x:v>
      </x:c>
      <x:c r="B14" s="18" t="str">
        <x:v>Британские острова</x:v>
      </x:c>
      <x:c r="C14" s="18" t="str">
        <x:v>Европа</x:v>
      </x:c>
      <x:c r="D14" s="18" t="str">
        <x:v>P3</x:v>
      </x:c>
      <x:c r="E14" s="22" t="n">
        <x:v>2500</x:v>
      </x:c>
      <x:c r="F14" s="22" t="n">
        <x:v>1</x:v>
      </x:c>
      <x:c r="G14" s="22" t="n">
        <x:v>10</x:v>
      </x:c>
      <x:c r="H14" s="22" t="n">
        <x:v>0.9</x:v>
      </x:c>
      <x:c r="I14" s="22" t="n">
        <x:v>1.25</x:v>
      </x:c>
      <x:c r="J14" s="22" t="n">
        <x:f>E14*1.5</x:f>
        <x:v>3750</x:v>
      </x:c>
      <x:c r="K14" s="22" t="n">
        <x:f>E14*2.5</x:f>
        <x:v>6250</x:v>
      </x:c>
      <x:c r="L14" s="22" t="n">
        <x:f>E14*3.5</x:f>
        <x:v>8750</x:v>
      </x:c>
      <x:c r="M14" s="22" t="n">
        <x:f>E14*4.5</x:f>
        <x:v>11250</x:v>
      </x:c>
      <x:c r="N14" s="22" t="n">
        <x:f>E14*5.5</x:f>
        <x:v>13750</x:v>
      </x:c>
      <x:c r="O14" s="22" t="n">
        <x:f>E14*7.5</x:f>
        <x:v>18750</x:v>
      </x:c>
      <x:c r="P14" s="22" t="n">
        <x:f>E14*9.5</x:f>
        <x:v>23750</x:v>
      </x:c>
      <x:c r="Q14" s="18" t="str">
        <x:v>Горные барьеры и побережье</x:v>
      </x:c>
      <x:c r="R14" s="18" t="str">
        <x:v>Проектный профиль v1</x:v>
      </x:c>
      <x:c r="S14" s="18" t="str">
        <x:v>Экспертная классификация проекта</x:v>
      </x:c>
    </x:row>
    <x:row r="15">
      <x:c r="A15" s="18" t="str">
        <x:v>Шотландская низменность</x:v>
      </x:c>
      <x:c r="B15" s="18" t="str">
        <x:v>Британские острова</x:v>
      </x:c>
      <x:c r="C15" s="18" t="str">
        <x:v>Европа</x:v>
      </x:c>
      <x:c r="D15" s="18" t="str">
        <x:v>P3</x:v>
      </x:c>
      <x:c r="E15" s="22" t="n">
        <x:v>2400</x:v>
      </x:c>
      <x:c r="F15" s="22" t="n">
        <x:v>1</x:v>
      </x:c>
      <x:c r="G15" s="22" t="n">
        <x:v>12</x:v>
      </x:c>
      <x:c r="H15" s="22" t="n">
        <x:v>1.1</x:v>
      </x:c>
      <x:c r="I15" s="22" t="n">
        <x:v>1.1</x:v>
      </x:c>
      <x:c r="J15" s="22" t="n">
        <x:f>E15*1.5</x:f>
        <x:v>3600</x:v>
      </x:c>
      <x:c r="K15" s="22" t="n">
        <x:f>E15*2.5</x:f>
        <x:v>6000</x:v>
      </x:c>
      <x:c r="L15" s="22" t="n">
        <x:f>E15*3.5</x:f>
        <x:v>8400</x:v>
      </x:c>
      <x:c r="M15" s="22" t="n">
        <x:f>E15*4.5</x:f>
        <x:v>10800</x:v>
      </x:c>
      <x:c r="N15" s="22" t="n">
        <x:f>E15*5.5</x:f>
        <x:v>13200</x:v>
      </x:c>
      <x:c r="O15" s="22" t="n">
        <x:f>E15*7.5</x:f>
        <x:v>18000</x:v>
      </x:c>
      <x:c r="P15" s="22" t="n">
        <x:f>E15*9.5</x:f>
        <x:v>22800</x:v>
      </x:c>
      <x:c r="Q15" s="18" t="str">
        <x:v>Глазго–Эдинбург и аграрные долины</x:v>
      </x:c>
      <x:c r="R15" s="18" t="str">
        <x:v>Проектный профиль v1</x:v>
      </x:c>
      <x:c r="S15" s="18" t="str">
        <x:v>Экспертная классификация проекта</x:v>
      </x:c>
    </x:row>
    <x:row r="16">
      <x:c r="A16" s="18" t="str">
        <x:v>Шотландское нагорье</x:v>
      </x:c>
      <x:c r="B16" s="18" t="str">
        <x:v>Британские острова</x:v>
      </x:c>
      <x:c r="C16" s="18" t="str">
        <x:v>Европа</x:v>
      </x:c>
      <x:c r="D16" s="18" t="str">
        <x:v>P5</x:v>
      </x:c>
      <x:c r="E16" s="22" t="n">
        <x:v>6500</x:v>
      </x:c>
      <x:c r="F16" s="22" t="n">
        <x:v>1</x:v>
      </x:c>
      <x:c r="G16" s="22" t="n">
        <x:v>10</x:v>
      </x:c>
      <x:c r="H16" s="22" t="n">
        <x:v>0.45</x:v>
      </x:c>
      <x:c r="I16" s="22" t="n">
        <x:v>1.3</x:v>
      </x:c>
      <x:c r="J16" s="22" t="n">
        <x:f>E16*1.5</x:f>
        <x:v>9750</x:v>
      </x:c>
      <x:c r="K16" s="22" t="n">
        <x:f>E16*2.5</x:f>
        <x:v>16250</x:v>
      </x:c>
      <x:c r="L16" s="22" t="n">
        <x:f>E16*3.5</x:f>
        <x:v>22750</x:v>
      </x:c>
      <x:c r="M16" s="22" t="n">
        <x:f>E16*4.5</x:f>
        <x:v>29250</x:v>
      </x:c>
      <x:c r="N16" s="22" t="n">
        <x:f>E16*5.5</x:f>
        <x:v>35750</x:v>
      </x:c>
      <x:c r="O16" s="22" t="n">
        <x:f>E16*7.5</x:f>
        <x:v>48750</x:v>
      </x:c>
      <x:c r="P16" s="22" t="n">
        <x:f>E16*9.5</x:f>
        <x:v>61750</x:v>
      </x:c>
      <x:c r="Q16" s="18" t="str">
        <x:v>Редкая горная территория</x:v>
      </x:c>
      <x:c r="R16" s="18" t="str">
        <x:v>Проектный профиль v1</x:v>
      </x:c>
      <x:c r="S16" s="18" t="str">
        <x:v>Экспертная классификация проекта</x:v>
      </x:c>
    </x:row>
    <x:row r="17">
      <x:c r="A17" s="18" t="str">
        <x:v>Восточная Ирландия</x:v>
      </x:c>
      <x:c r="B17" s="18" t="str">
        <x:v>Британские острова</x:v>
      </x:c>
      <x:c r="C17" s="18" t="str">
        <x:v>Европа</x:v>
      </x:c>
      <x:c r="D17" s="18" t="str">
        <x:v>P3</x:v>
      </x:c>
      <x:c r="E17" s="22" t="n">
        <x:v>2200</x:v>
      </x:c>
      <x:c r="F17" s="22" t="n">
        <x:v>1</x:v>
      </x:c>
      <x:c r="G17" s="22" t="n">
        <x:v>12</x:v>
      </x:c>
      <x:c r="H17" s="22" t="n">
        <x:v>1.1</x:v>
      </x:c>
      <x:c r="I17" s="22" t="n">
        <x:v>1.05</x:v>
      </x:c>
      <x:c r="J17" s="22" t="n">
        <x:f>E17*1.5</x:f>
        <x:v>3300</x:v>
      </x:c>
      <x:c r="K17" s="22" t="n">
        <x:f>E17*2.5</x:f>
        <x:v>5500</x:v>
      </x:c>
      <x:c r="L17" s="22" t="n">
        <x:f>E17*3.5</x:f>
        <x:v>7700</x:v>
      </x:c>
      <x:c r="M17" s="22" t="n">
        <x:f>E17*4.5</x:f>
        <x:v>9900</x:v>
      </x:c>
      <x:c r="N17" s="22" t="n">
        <x:f>E17*5.5</x:f>
        <x:v>12100</x:v>
      </x:c>
      <x:c r="O17" s="22" t="n">
        <x:f>E17*7.5</x:f>
        <x:v>16500</x:v>
      </x:c>
      <x:c r="P17" s="22" t="n">
        <x:f>E17*9.5</x:f>
        <x:v>20900</x:v>
      </x:c>
      <x:c r="Q17" s="18" t="str">
        <x:v>Более плотная сеть поселений</x:v>
      </x:c>
      <x:c r="R17" s="18" t="str">
        <x:v>Проектный профиль v1</x:v>
      </x:c>
      <x:c r="S17" s="18" t="str">
        <x:v>Экспертная классификация проекта</x:v>
      </x:c>
    </x:row>
    <x:row r="18">
      <x:c r="A18" s="18" t="str">
        <x:v>Западная Ирландия</x:v>
      </x:c>
      <x:c r="B18" s="18" t="str">
        <x:v>Британские острова</x:v>
      </x:c>
      <x:c r="C18" s="18" t="str">
        <x:v>Европа</x:v>
      </x:c>
      <x:c r="D18" s="18" t="str">
        <x:v>P4</x:v>
      </x:c>
      <x:c r="E18" s="22" t="n">
        <x:v>3200</x:v>
      </x:c>
      <x:c r="F18" s="22" t="n">
        <x:v>1</x:v>
      </x:c>
      <x:c r="G18" s="22" t="n">
        <x:v>10</x:v>
      </x:c>
      <x:c r="H18" s="22" t="n">
        <x:v>0.75</x:v>
      </x:c>
      <x:c r="I18" s="22" t="n">
        <x:v>1.2</x:v>
      </x:c>
      <x:c r="J18" s="22" t="n">
        <x:f>E18*1.5</x:f>
        <x:v>4800</x:v>
      </x:c>
      <x:c r="K18" s="22" t="n">
        <x:f>E18*2.5</x:f>
        <x:v>8000</x:v>
      </x:c>
      <x:c r="L18" s="22" t="n">
        <x:f>E18*3.5</x:f>
        <x:v>11200</x:v>
      </x:c>
      <x:c r="M18" s="22" t="n">
        <x:f>E18*4.5</x:f>
        <x:v>14400</x:v>
      </x:c>
      <x:c r="N18" s="22" t="n">
        <x:f>E18*5.5</x:f>
        <x:v>17600</x:v>
      </x:c>
      <x:c r="O18" s="22" t="n">
        <x:f>E18*7.5</x:f>
        <x:v>24000</x:v>
      </x:c>
      <x:c r="P18" s="22" t="n">
        <x:f>E18*9.5</x:f>
        <x:v>30400</x:v>
      </x:c>
      <x:c r="Q18" s="18" t="str">
        <x:v>Сложный берег и более редкая сеть</x:v>
      </x:c>
      <x:c r="R18" s="18" t="str">
        <x:v>Проектный профиль v1</x:v>
      </x:c>
      <x:c r="S18" s="18" t="str">
        <x:v>Экспертная классификация проекта</x:v>
      </x:c>
    </x:row>
    <x:row r="19">
      <x:c r="A19" s="18" t="str">
        <x:v>Иль-де-Франс</x:v>
      </x:c>
      <x:c r="B19" s="18" t="str">
        <x:v>Франция</x:v>
      </x:c>
      <x:c r="C19" s="18" t="str">
        <x:v>Европа</x:v>
      </x:c>
      <x:c r="D19" s="18" t="str">
        <x:v>P1</x:v>
      </x:c>
      <x:c r="E19" s="22" t="n">
        <x:v>850</x:v>
      </x:c>
      <x:c r="F19" s="22" t="n">
        <x:v>2</x:v>
      </x:c>
      <x:c r="G19" s="22" t="n">
        <x:v>10</x:v>
      </x:c>
      <x:c r="H19" s="22" t="n">
        <x:v>2</x:v>
      </x:c>
      <x:c r="I19" s="22" t="n">
        <x:v>1.05</x:v>
      </x:c>
      <x:c r="J19" s="22" t="n">
        <x:f>E19*1.5</x:f>
        <x:v>1275</x:v>
      </x:c>
      <x:c r="K19" s="22" t="n">
        <x:f>E19*2.5</x:f>
        <x:v>2125</x:v>
      </x:c>
      <x:c r="L19" s="22" t="n">
        <x:f>E19*3.5</x:f>
        <x:v>2975</x:v>
      </x:c>
      <x:c r="M19" s="22" t="n">
        <x:f>E19*4.5</x:f>
        <x:v>3825</x:v>
      </x:c>
      <x:c r="N19" s="22" t="n">
        <x:f>E19*5.5</x:f>
        <x:v>4675</x:v>
      </x:c>
      <x:c r="O19" s="22" t="n">
        <x:f>E19*7.5</x:f>
        <x:v>6375</x:v>
      </x:c>
      <x:c r="P19" s="22" t="n">
        <x:f>E19*9.5</x:f>
        <x:v>8075</x:v>
      </x:c>
      <x:c r="Q19" s="18" t="str">
        <x:v>Парижское ядро; метропольный минимум</x:v>
      </x:c>
      <x:c r="R19" s="18" t="str">
        <x:v>Проектный профиль v1</x:v>
      </x:c>
      <x:c r="S19" s="18" t="str">
        <x:v>Экспертная классификация проекта</x:v>
      </x:c>
    </x:row>
    <x:row r="20">
      <x:c r="A20" s="18" t="str">
        <x:v>Нормандия</x:v>
      </x:c>
      <x:c r="B20" s="18" t="str">
        <x:v>Франция</x:v>
      </x:c>
      <x:c r="C20" s="18" t="str">
        <x:v>Европа</x:v>
      </x:c>
      <x:c r="D20" s="18" t="str">
        <x:v>P3</x:v>
      </x:c>
      <x:c r="E20" s="22" t="n">
        <x:v>1800</x:v>
      </x:c>
      <x:c r="F20" s="22" t="n">
        <x:v>1</x:v>
      </x:c>
      <x:c r="G20" s="22" t="n">
        <x:v>12</x:v>
      </x:c>
      <x:c r="H20" s="22" t="n">
        <x:v>1.35</x:v>
      </x:c>
      <x:c r="I20" s="22" t="n">
        <x:v>1.1</x:v>
      </x:c>
      <x:c r="J20" s="22" t="n">
        <x:f>E20*1.5</x:f>
        <x:v>2700</x:v>
      </x:c>
      <x:c r="K20" s="22" t="n">
        <x:f>E20*2.5</x:f>
        <x:v>4500</x:v>
      </x:c>
      <x:c r="L20" s="22" t="n">
        <x:f>E20*3.5</x:f>
        <x:v>6300</x:v>
      </x:c>
      <x:c r="M20" s="22" t="n">
        <x:f>E20*4.5</x:f>
        <x:v>8100</x:v>
      </x:c>
      <x:c r="N20" s="22" t="n">
        <x:f>E20*5.5</x:f>
        <x:v>9900</x:v>
      </x:c>
      <x:c r="O20" s="22" t="n">
        <x:f>E20*7.5</x:f>
        <x:v>13500</x:v>
      </x:c>
      <x:c r="P20" s="22" t="n">
        <x:f>E20*9.5</x:f>
        <x:v>17100</x:v>
      </x:c>
      <x:c r="Q20" s="18" t="str">
        <x:v>Плотное сельское расселение и побережье</x:v>
      </x:c>
      <x:c r="R20" s="18" t="str">
        <x:v>Проектный профиль v1</x:v>
      </x:c>
      <x:c r="S20" s="18" t="str">
        <x:v>Экспертная классификация проекта</x:v>
      </x:c>
    </x:row>
    <x:row r="21">
      <x:c r="A21" s="18" t="str">
        <x:v>Бретань</x:v>
      </x:c>
      <x:c r="B21" s="18" t="str">
        <x:v>Франция</x:v>
      </x:c>
      <x:c r="C21" s="18" t="str">
        <x:v>Европа</x:v>
      </x:c>
      <x:c r="D21" s="18" t="str">
        <x:v>P3</x:v>
      </x:c>
      <x:c r="E21" s="22" t="n">
        <x:v>1700</x:v>
      </x:c>
      <x:c r="F21" s="22" t="n">
        <x:v>1</x:v>
      </x:c>
      <x:c r="G21" s="22" t="n">
        <x:v>12</x:v>
      </x:c>
      <x:c r="H21" s="22" t="n">
        <x:v>1.25</x:v>
      </x:c>
      <x:c r="I21" s="22" t="n">
        <x:v>1.25</x:v>
      </x:c>
      <x:c r="J21" s="22" t="n">
        <x:f>E21*1.5</x:f>
        <x:v>2550</x:v>
      </x:c>
      <x:c r="K21" s="22" t="n">
        <x:f>E21*2.5</x:f>
        <x:v>4250</x:v>
      </x:c>
      <x:c r="L21" s="22" t="n">
        <x:f>E21*3.5</x:f>
        <x:v>5950</x:v>
      </x:c>
      <x:c r="M21" s="22" t="n">
        <x:f>E21*4.5</x:f>
        <x:v>7650</x:v>
      </x:c>
      <x:c r="N21" s="22" t="n">
        <x:f>E21*5.5</x:f>
        <x:v>9350</x:v>
      </x:c>
      <x:c r="O21" s="22" t="n">
        <x:f>E21*7.5</x:f>
        <x:v>12750</x:v>
      </x:c>
      <x:c r="P21" s="22" t="n">
        <x:f>E21*9.5</x:f>
        <x:v>16150</x:v>
      </x:c>
      <x:c r="Q21" s="18" t="str">
        <x:v>Полуострова и сложная береговая линия</x:v>
      </x:c>
      <x:c r="R21" s="18" t="str">
        <x:v>Проектный профиль v1</x:v>
      </x:c>
      <x:c r="S21" s="18" t="str">
        <x:v>Экспертная классификация проекта</x:v>
      </x:c>
    </x:row>
    <x:row r="22">
      <x:c r="A22" s="18" t="str">
        <x:v>Долина Луары</x:v>
      </x:c>
      <x:c r="B22" s="18" t="str">
        <x:v>Франция</x:v>
      </x:c>
      <x:c r="C22" s="18" t="str">
        <x:v>Европа</x:v>
      </x:c>
      <x:c r="D22" s="18" t="str">
        <x:v>P3</x:v>
      </x:c>
      <x:c r="E22" s="22" t="n">
        <x:v>2200</x:v>
      </x:c>
      <x:c r="F22" s="22" t="n">
        <x:v>1</x:v>
      </x:c>
      <x:c r="G22" s="22" t="n">
        <x:v>14</x:v>
      </x:c>
      <x:c r="H22" s="22" t="n">
        <x:v>1.2</x:v>
      </x:c>
      <x:c r="I22" s="22" t="n">
        <x:v>1.05</x:v>
      </x:c>
      <x:c r="J22" s="22" t="n">
        <x:f>E22*1.5</x:f>
        <x:v>3300</x:v>
      </x:c>
      <x:c r="K22" s="22" t="n">
        <x:f>E22*2.5</x:f>
        <x:v>5500</x:v>
      </x:c>
      <x:c r="L22" s="22" t="n">
        <x:f>E22*3.5</x:f>
        <x:v>7700</x:v>
      </x:c>
      <x:c r="M22" s="22" t="n">
        <x:f>E22*4.5</x:f>
        <x:v>9900</x:v>
      </x:c>
      <x:c r="N22" s="22" t="n">
        <x:f>E22*5.5</x:f>
        <x:v>12100</x:v>
      </x:c>
      <x:c r="O22" s="22" t="n">
        <x:f>E22*7.5</x:f>
        <x:v>16500</x:v>
      </x:c>
      <x:c r="P22" s="22" t="n">
        <x:f>E22*9.5</x:f>
        <x:v>20900</x:v>
      </x:c>
      <x:c r="Q22" s="18" t="str">
        <x:v>Речная ось и исторические центры</x:v>
      </x:c>
      <x:c r="R22" s="18" t="str">
        <x:v>Проектный профиль v1</x:v>
      </x:c>
      <x:c r="S22" s="18" t="str">
        <x:v>Экспертная классификация проекта</x:v>
      </x:c>
    </x:row>
    <x:row r="23">
      <x:c r="A23" s="18" t="str">
        <x:v>Пикардия и Артуа</x:v>
      </x:c>
      <x:c r="B23" s="18" t="str">
        <x:v>Франция</x:v>
      </x:c>
      <x:c r="C23" s="18" t="str">
        <x:v>Европа</x:v>
      </x:c>
      <x:c r="D23" s="18" t="str">
        <x:v>P2</x:v>
      </x:c>
      <x:c r="E23" s="22" t="n">
        <x:v>1500</x:v>
      </x:c>
      <x:c r="F23" s="22" t="n">
        <x:v>1</x:v>
      </x:c>
      <x:c r="G23" s="22" t="n">
        <x:v>12</x:v>
      </x:c>
      <x:c r="H23" s="22" t="n">
        <x:v>1.45</x:v>
      </x:c>
      <x:c r="I23" s="22" t="n">
        <x:v>1.05</x:v>
      </x:c>
      <x:c r="J23" s="22" t="n">
        <x:f>E23*1.5</x:f>
        <x:v>2250</x:v>
      </x:c>
      <x:c r="K23" s="22" t="n">
        <x:f>E23*2.5</x:f>
        <x:v>3750</x:v>
      </x:c>
      <x:c r="L23" s="22" t="n">
        <x:f>E23*3.5</x:f>
        <x:v>5250</x:v>
      </x:c>
      <x:c r="M23" s="22" t="n">
        <x:f>E23*4.5</x:f>
        <x:v>6750</x:v>
      </x:c>
      <x:c r="N23" s="22" t="n">
        <x:f>E23*5.5</x:f>
        <x:v>8250</x:v>
      </x:c>
      <x:c r="O23" s="22" t="n">
        <x:f>E23*7.5</x:f>
        <x:v>11250</x:v>
      </x:c>
      <x:c r="P23" s="22" t="n">
        <x:f>E23*9.5</x:f>
        <x:v>14250</x:v>
      </x:c>
      <x:c r="Q23" s="18" t="str">
        <x:v>Плотная аграрно-городская зона</x:v>
      </x:c>
      <x:c r="R23" s="18" t="str">
        <x:v>Проектный профиль v1</x:v>
      </x:c>
      <x:c r="S23" s="18" t="str">
        <x:v>Экспертная классификация проекта</x:v>
      </x:c>
    </x:row>
    <x:row r="24">
      <x:c r="A24" s="18" t="str">
        <x:v>Шампань</x:v>
      </x:c>
      <x:c r="B24" s="18" t="str">
        <x:v>Франция</x:v>
      </x:c>
      <x:c r="C24" s="18" t="str">
        <x:v>Европа</x:v>
      </x:c>
      <x:c r="D24" s="18" t="str">
        <x:v>P3</x:v>
      </x:c>
      <x:c r="E24" s="22" t="n">
        <x:v>1900</x:v>
      </x:c>
      <x:c r="F24" s="22" t="n">
        <x:v>1</x:v>
      </x:c>
      <x:c r="G24" s="22" t="n">
        <x:v>12</x:v>
      </x:c>
      <x:c r="H24" s="22" t="n">
        <x:v>1.35</x:v>
      </x:c>
      <x:c r="I24" s="22" t="n">
        <x:v>1.05</x:v>
      </x:c>
      <x:c r="J24" s="22" t="n">
        <x:f>E24*1.5</x:f>
        <x:v>2850</x:v>
      </x:c>
      <x:c r="K24" s="22" t="n">
        <x:f>E24*2.5</x:f>
        <x:v>4750</x:v>
      </x:c>
      <x:c r="L24" s="22" t="n">
        <x:f>E24*3.5</x:f>
        <x:v>6650</x:v>
      </x:c>
      <x:c r="M24" s="22" t="n">
        <x:f>E24*4.5</x:f>
        <x:v>8550</x:v>
      </x:c>
      <x:c r="N24" s="22" t="n">
        <x:f>E24*5.5</x:f>
        <x:v>10450</x:v>
      </x:c>
      <x:c r="O24" s="22" t="n">
        <x:f>E24*7.5</x:f>
        <x:v>14250</x:v>
      </x:c>
      <x:c r="P24" s="22" t="n">
        <x:f>E24*9.5</x:f>
        <x:v>18050</x:v>
      </x:c>
      <x:c r="Q24" s="18" t="str">
        <x:v>Исторические города и равнины</x:v>
      </x:c>
      <x:c r="R24" s="18" t="str">
        <x:v>Проектный профиль v1</x:v>
      </x:c>
      <x:c r="S24" s="18" t="str">
        <x:v>Экспертная классификация проекта</x:v>
      </x:c>
    </x:row>
    <x:row r="25">
      <x:c r="A25" s="18" t="str">
        <x:v>Бургундия</x:v>
      </x:c>
      <x:c r="B25" s="18" t="str">
        <x:v>Франция</x:v>
      </x:c>
      <x:c r="C25" s="18" t="str">
        <x:v>Европа</x:v>
      </x:c>
      <x:c r="D25" s="18" t="str">
        <x:v>P3</x:v>
      </x:c>
      <x:c r="E25" s="22" t="n">
        <x:v>2100</x:v>
      </x:c>
      <x:c r="F25" s="22" t="n">
        <x:v>1</x:v>
      </x:c>
      <x:c r="G25" s="22" t="n">
        <x:v>14</x:v>
      </x:c>
      <x:c r="H25" s="22" t="n">
        <x:v>1.25</x:v>
      </x:c>
      <x:c r="I25" s="22" t="n">
        <x:v>1.1</x:v>
      </x:c>
      <x:c r="J25" s="22" t="n">
        <x:f>E25*1.5</x:f>
        <x:v>3150</x:v>
      </x:c>
      <x:c r="K25" s="22" t="n">
        <x:f>E25*2.5</x:f>
        <x:v>5250</x:v>
      </x:c>
      <x:c r="L25" s="22" t="n">
        <x:f>E25*3.5</x:f>
        <x:v>7350</x:v>
      </x:c>
      <x:c r="M25" s="22" t="n">
        <x:f>E25*4.5</x:f>
        <x:v>9450</x:v>
      </x:c>
      <x:c r="N25" s="22" t="n">
        <x:f>E25*5.5</x:f>
        <x:v>11550</x:v>
      </x:c>
      <x:c r="O25" s="22" t="n">
        <x:f>E25*7.5</x:f>
        <x:v>15750</x:v>
      </x:c>
      <x:c r="P25" s="22" t="n">
        <x:f>E25*9.5</x:f>
        <x:v>19950</x:v>
      </x:c>
      <x:c r="Q25" s="18" t="str">
        <x:v>Виноградные районы, реки и города</x:v>
      </x:c>
      <x:c r="R25" s="18" t="str">
        <x:v>Проектный профиль v1</x:v>
      </x:c>
      <x:c r="S25" s="18" t="str">
        <x:v>Экспертная классификация проекта</x:v>
      </x:c>
    </x:row>
    <x:row r="26">
      <x:c r="A26" s="18" t="str">
        <x:v>Эльзас и Лотарингия</x:v>
      </x:c>
      <x:c r="B26" s="18" t="str">
        <x:v>Франция</x:v>
      </x:c>
      <x:c r="C26" s="18" t="str">
        <x:v>Европа</x:v>
      </x:c>
      <x:c r="D26" s="18" t="str">
        <x:v>P2</x:v>
      </x:c>
      <x:c r="E26" s="22" t="n">
        <x:v>1500</x:v>
      </x:c>
      <x:c r="F26" s="22" t="n">
        <x:v>1</x:v>
      </x:c>
      <x:c r="G26" s="22" t="n">
        <x:v>12</x:v>
      </x:c>
      <x:c r="H26" s="22" t="n">
        <x:v>1.45</x:v>
      </x:c>
      <x:c r="I26" s="22" t="n">
        <x:v>1.15</x:v>
      </x:c>
      <x:c r="J26" s="22" t="n">
        <x:f>E26*1.5</x:f>
        <x:v>2250</x:v>
      </x:c>
      <x:c r="K26" s="22" t="n">
        <x:f>E26*2.5</x:f>
        <x:v>3750</x:v>
      </x:c>
      <x:c r="L26" s="22" t="n">
        <x:f>E26*3.5</x:f>
        <x:v>5250</x:v>
      </x:c>
      <x:c r="M26" s="22" t="n">
        <x:f>E26*4.5</x:f>
        <x:v>6750</x:v>
      </x:c>
      <x:c r="N26" s="22" t="n">
        <x:f>E26*5.5</x:f>
        <x:v>8250</x:v>
      </x:c>
      <x:c r="O26" s="22" t="n">
        <x:f>E26*7.5</x:f>
        <x:v>11250</x:v>
      </x:c>
      <x:c r="P26" s="22" t="n">
        <x:f>E26*9.5</x:f>
        <x:v>14250</x:v>
      </x:c>
      <x:c r="Q26" s="18" t="str">
        <x:v>Плотные долины и пограничные пути</x:v>
      </x:c>
      <x:c r="R26" s="18" t="str">
        <x:v>Проектный профиль v1</x:v>
      </x:c>
      <x:c r="S26" s="18" t="str">
        <x:v>Экспертная классификация проекта</x:v>
      </x:c>
    </x:row>
    <x:row r="27">
      <x:c r="A27" s="18" t="str">
        <x:v>Аквитания и Гасконь</x:v>
      </x:c>
      <x:c r="B27" s="18" t="str">
        <x:v>Франция</x:v>
      </x:c>
      <x:c r="C27" s="18" t="str">
        <x:v>Европа</x:v>
      </x:c>
      <x:c r="D27" s="18" t="str">
        <x:v>P4</x:v>
      </x:c>
      <x:c r="E27" s="22" t="n">
        <x:v>2700</x:v>
      </x:c>
      <x:c r="F27" s="22" t="n">
        <x:v>1</x:v>
      </x:c>
      <x:c r="G27" s="22" t="n">
        <x:v>14</x:v>
      </x:c>
      <x:c r="H27" s="22" t="n">
        <x:v>1</x:v>
      </x:c>
      <x:c r="I27" s="22" t="n">
        <x:v>1.1</x:v>
      </x:c>
      <x:c r="J27" s="22" t="n">
        <x:f>E27*1.5</x:f>
        <x:v>4050</x:v>
      </x:c>
      <x:c r="K27" s="22" t="n">
        <x:f>E27*2.5</x:f>
        <x:v>6750</x:v>
      </x:c>
      <x:c r="L27" s="22" t="n">
        <x:f>E27*3.5</x:f>
        <x:v>9450</x:v>
      </x:c>
      <x:c r="M27" s="22" t="n">
        <x:f>E27*4.5</x:f>
        <x:v>12150</x:v>
      </x:c>
      <x:c r="N27" s="22" t="n">
        <x:f>E27*5.5</x:f>
        <x:v>14850</x:v>
      </x:c>
      <x:c r="O27" s="22" t="n">
        <x:f>E27*7.5</x:f>
        <x:v>20250</x:v>
      </x:c>
      <x:c r="P27" s="22" t="n">
        <x:f>E27*9.5</x:f>
        <x:v>25650</x:v>
      </x:c>
      <x:c r="Q27" s="18" t="str">
        <x:v>Большие равнинные и лесные пространства</x:v>
      </x:c>
      <x:c r="R27" s="18" t="str">
        <x:v>Проектный профиль v1</x:v>
      </x:c>
      <x:c r="S27" s="18" t="str">
        <x:v>Экспертная классификация проекта</x:v>
      </x:c>
    </x:row>
    <x:row r="28">
      <x:c r="A28" s="18" t="str">
        <x:v>Лангедок</x:v>
      </x:c>
      <x:c r="B28" s="18" t="str">
        <x:v>Франция</x:v>
      </x:c>
      <x:c r="C28" s="18" t="str">
        <x:v>Европа</x:v>
      </x:c>
      <x:c r="D28" s="18" t="str">
        <x:v>P3</x:v>
      </x:c>
      <x:c r="E28" s="22" t="n">
        <x:v>2200</x:v>
      </x:c>
      <x:c r="F28" s="22" t="n">
        <x:v>1</x:v>
      </x:c>
      <x:c r="G28" s="22" t="n">
        <x:v>12</x:v>
      </x:c>
      <x:c r="H28" s="22" t="n">
        <x:v>1.15</x:v>
      </x:c>
      <x:c r="I28" s="22" t="n">
        <x:v>1.15</x:v>
      </x:c>
      <x:c r="J28" s="22" t="n">
        <x:f>E28*1.5</x:f>
        <x:v>3300</x:v>
      </x:c>
      <x:c r="K28" s="22" t="n">
        <x:f>E28*2.5</x:f>
        <x:v>5500</x:v>
      </x:c>
      <x:c r="L28" s="22" t="n">
        <x:f>E28*3.5</x:f>
        <x:v>7700</x:v>
      </x:c>
      <x:c r="M28" s="22" t="n">
        <x:f>E28*4.5</x:f>
        <x:v>9900</x:v>
      </x:c>
      <x:c r="N28" s="22" t="n">
        <x:f>E28*5.5</x:f>
        <x:v>12100</x:v>
      </x:c>
      <x:c r="O28" s="22" t="n">
        <x:f>E28*7.5</x:f>
        <x:v>16500</x:v>
      </x:c>
      <x:c r="P28" s="22" t="n">
        <x:f>E28*9.5</x:f>
        <x:v>20900</x:v>
      </x:c>
      <x:c r="Q28" s="18" t="str">
        <x:v>Средиземноморское побережье и долины</x:v>
      </x:c>
      <x:c r="R28" s="18" t="str">
        <x:v>Проектный профиль v1</x:v>
      </x:c>
      <x:c r="S28" s="18" t="str">
        <x:v>Экспертная классификация проекта</x:v>
      </x:c>
    </x:row>
    <x:row r="29">
      <x:c r="A29" s="18" t="str">
        <x:v>Прованс</x:v>
      </x:c>
      <x:c r="B29" s="18" t="str">
        <x:v>Франция</x:v>
      </x:c>
      <x:c r="C29" s="18" t="str">
        <x:v>Европа</x:v>
      </x:c>
      <x:c r="D29" s="18" t="str">
        <x:v>P3</x:v>
      </x:c>
      <x:c r="E29" s="22" t="n">
        <x:v>1700</x:v>
      </x:c>
      <x:c r="F29" s="22" t="n">
        <x:v>1</x:v>
      </x:c>
      <x:c r="G29" s="22" t="n">
        <x:v>12</x:v>
      </x:c>
      <x:c r="H29" s="22" t="n">
        <x:v>1.35</x:v>
      </x:c>
      <x:c r="I29" s="22" t="n">
        <x:v>1.25</x:v>
      </x:c>
      <x:c r="J29" s="22" t="n">
        <x:f>E29*1.5</x:f>
        <x:v>2550</x:v>
      </x:c>
      <x:c r="K29" s="22" t="n">
        <x:f>E29*2.5</x:f>
        <x:v>4250</x:v>
      </x:c>
      <x:c r="L29" s="22" t="n">
        <x:f>E29*3.5</x:f>
        <x:v>5950</x:v>
      </x:c>
      <x:c r="M29" s="22" t="n">
        <x:f>E29*4.5</x:f>
        <x:v>7650</x:v>
      </x:c>
      <x:c r="N29" s="22" t="n">
        <x:f>E29*5.5</x:f>
        <x:v>9350</x:v>
      </x:c>
      <x:c r="O29" s="22" t="n">
        <x:f>E29*7.5</x:f>
        <x:v>12750</x:v>
      </x:c>
      <x:c r="P29" s="22" t="n">
        <x:f>E29*9.5</x:f>
        <x:v>16150</x:v>
      </x:c>
      <x:c r="Q29" s="18" t="str">
        <x:v>Порты, Альпы и долина Роны</x:v>
      </x:c>
      <x:c r="R29" s="18" t="str">
        <x:v>Проектный профиль v1</x:v>
      </x:c>
      <x:c r="S29" s="18" t="str">
        <x:v>Экспертная классификация проекта</x:v>
      </x:c>
    </x:row>
    <x:row r="30">
      <x:c r="A30" s="18" t="str">
        <x:v>Савойя и Дофине</x:v>
      </x:c>
      <x:c r="B30" s="18" t="str">
        <x:v>Франция</x:v>
      </x:c>
      <x:c r="C30" s="18" t="str">
        <x:v>Европа</x:v>
      </x:c>
      <x:c r="D30" s="18" t="str">
        <x:v>P3</x:v>
      </x:c>
      <x:c r="E30" s="22" t="n">
        <x:v>1900</x:v>
      </x:c>
      <x:c r="F30" s="22" t="n">
        <x:v>1</x:v>
      </x:c>
      <x:c r="G30" s="22" t="n">
        <x:v>12</x:v>
      </x:c>
      <x:c r="H30" s="22" t="n">
        <x:v>1.15</x:v>
      </x:c>
      <x:c r="I30" s="22" t="n">
        <x:v>1.3</x:v>
      </x:c>
      <x:c r="J30" s="22" t="n">
        <x:f>E30*1.5</x:f>
        <x:v>2850</x:v>
      </x:c>
      <x:c r="K30" s="22" t="n">
        <x:f>E30*2.5</x:f>
        <x:v>4750</x:v>
      </x:c>
      <x:c r="L30" s="22" t="n">
        <x:f>E30*3.5</x:f>
        <x:v>6650</x:v>
      </x:c>
      <x:c r="M30" s="22" t="n">
        <x:f>E30*4.5</x:f>
        <x:v>8550</x:v>
      </x:c>
      <x:c r="N30" s="22" t="n">
        <x:f>E30*5.5</x:f>
        <x:v>10450</x:v>
      </x:c>
      <x:c r="O30" s="22" t="n">
        <x:f>E30*7.5</x:f>
        <x:v>14250</x:v>
      </x:c>
      <x:c r="P30" s="22" t="n">
        <x:f>E30*9.5</x:f>
        <x:v>18050</x:v>
      </x:c>
      <x:c r="Q30" s="18" t="str">
        <x:v>Альпийские долины и перевалы</x:v>
      </x:c>
      <x:c r="R30" s="18" t="str">
        <x:v>Проектный профиль v1</x:v>
      </x:c>
      <x:c r="S30" s="18" t="str">
        <x:v>Экспертная классификация проекта</x:v>
      </x:c>
    </x:row>
    <x:row r="31">
      <x:c r="A31" s="18" t="str">
        <x:v>Ломбардия</x:v>
      </x:c>
      <x:c r="B31" s="18" t="str">
        <x:v>Италия</x:v>
      </x:c>
      <x:c r="C31" s="18" t="str">
        <x:v>Европа</x:v>
      </x:c>
      <x:c r="D31" s="18" t="str">
        <x:v>P1</x:v>
      </x:c>
      <x:c r="E31" s="22" t="n">
        <x:v>800</x:v>
      </x:c>
      <x:c r="F31" s="22" t="n">
        <x:v>1</x:v>
      </x:c>
      <x:c r="G31" s="22" t="n">
        <x:v>12</x:v>
      </x:c>
      <x:c r="H31" s="22" t="n">
        <x:v>2</x:v>
      </x:c>
      <x:c r="I31" s="22" t="n">
        <x:v>1.1</x:v>
      </x:c>
      <x:c r="J31" s="22" t="n">
        <x:f>E31*1.5</x:f>
        <x:v>1200</x:v>
      </x:c>
      <x:c r="K31" s="22" t="n">
        <x:f>E31*2.5</x:f>
        <x:v>2000</x:v>
      </x:c>
      <x:c r="L31" s="22" t="n">
        <x:f>E31*3.5</x:f>
        <x:v>2800</x:v>
      </x:c>
      <x:c r="M31" s="22" t="n">
        <x:f>E31*4.5</x:f>
        <x:v>3600</x:v>
      </x:c>
      <x:c r="N31" s="22" t="n">
        <x:f>E31*5.5</x:f>
        <x:v>4400</x:v>
      </x:c>
      <x:c r="O31" s="22" t="n">
        <x:f>E31*7.5</x:f>
        <x:v>6000</x:v>
      </x:c>
      <x:c r="P31" s="22" t="n">
        <x:f>E31*9.5</x:f>
        <x:v>7600</x:v>
      </x:c>
      <x:c r="Q31" s="18" t="str">
        <x:v>Сверхплотная городская и аграрная сеть</x:v>
      </x:c>
      <x:c r="R31" s="18" t="str">
        <x:v>Проектный профиль v1</x:v>
      </x:c>
      <x:c r="S31" s="18" t="str">
        <x:v>Экспертная классификация проекта</x:v>
      </x:c>
    </x:row>
    <x:row r="32">
      <x:c r="A32" s="18" t="str">
        <x:v>Пьемонт</x:v>
      </x:c>
      <x:c r="B32" s="18" t="str">
        <x:v>Италия</x:v>
      </x:c>
      <x:c r="C32" s="18" t="str">
        <x:v>Европа</x:v>
      </x:c>
      <x:c r="D32" s="18" t="str">
        <x:v>P2</x:v>
      </x:c>
      <x:c r="E32" s="22" t="n">
        <x:v>1200</x:v>
      </x:c>
      <x:c r="F32" s="22" t="n">
        <x:v>1</x:v>
      </x:c>
      <x:c r="G32" s="22" t="n">
        <x:v>12</x:v>
      </x:c>
      <x:c r="H32" s="22" t="n">
        <x:v>1.6</x:v>
      </x:c>
      <x:c r="I32" s="22" t="n">
        <x:v>1.2</x:v>
      </x:c>
      <x:c r="J32" s="22" t="n">
        <x:f>E32*1.5</x:f>
        <x:v>1800</x:v>
      </x:c>
      <x:c r="K32" s="22" t="n">
        <x:f>E32*2.5</x:f>
        <x:v>3000</x:v>
      </x:c>
      <x:c r="L32" s="22" t="n">
        <x:f>E32*3.5</x:f>
        <x:v>4200</x:v>
      </x:c>
      <x:c r="M32" s="22" t="n">
        <x:f>E32*4.5</x:f>
        <x:v>5400</x:v>
      </x:c>
      <x:c r="N32" s="22" t="n">
        <x:f>E32*5.5</x:f>
        <x:v>6600</x:v>
      </x:c>
      <x:c r="O32" s="22" t="n">
        <x:f>E32*7.5</x:f>
        <x:v>9000</x:v>
      </x:c>
      <x:c r="P32" s="22" t="n">
        <x:f>E32*9.5</x:f>
        <x:v>11400</x:v>
      </x:c>
      <x:c r="Q32" s="18" t="str">
        <x:v>Горная рамка и равнинное ядро</x:v>
      </x:c>
      <x:c r="R32" s="18" t="str">
        <x:v>Проектный профиль v1</x:v>
      </x:c>
      <x:c r="S32" s="18" t="str">
        <x:v>Экспертная классификация проекта</x:v>
      </x:c>
    </x:row>
    <x:row r="33">
      <x:c r="A33" s="18" t="str">
        <x:v>Лигурия</x:v>
      </x:c>
      <x:c r="B33" s="18" t="str">
        <x:v>Италия</x:v>
      </x:c>
      <x:c r="C33" s="18" t="str">
        <x:v>Европа</x:v>
      </x:c>
      <x:c r="D33" s="18" t="str">
        <x:v>P1</x:v>
      </x:c>
      <x:c r="E33" s="22" t="n">
        <x:v>800</x:v>
      </x:c>
      <x:c r="F33" s="22" t="n">
        <x:v>1</x:v>
      </x:c>
      <x:c r="G33" s="22" t="n">
        <x:v>10</x:v>
      </x:c>
      <x:c r="H33" s="22" t="n">
        <x:v>1.65</x:v>
      </x:c>
      <x:c r="I33" s="22" t="n">
        <x:v>1.35</x:v>
      </x:c>
      <x:c r="J33" s="22" t="n">
        <x:f>E33*1.5</x:f>
        <x:v>1200</x:v>
      </x:c>
      <x:c r="K33" s="22" t="n">
        <x:f>E33*2.5</x:f>
        <x:v>2000</x:v>
      </x:c>
      <x:c r="L33" s="22" t="n">
        <x:f>E33*3.5</x:f>
        <x:v>2800</x:v>
      </x:c>
      <x:c r="M33" s="22" t="n">
        <x:f>E33*4.5</x:f>
        <x:v>3600</x:v>
      </x:c>
      <x:c r="N33" s="22" t="n">
        <x:f>E33*5.5</x:f>
        <x:v>4400</x:v>
      </x:c>
      <x:c r="O33" s="22" t="n">
        <x:f>E33*7.5</x:f>
        <x:v>6000</x:v>
      </x:c>
      <x:c r="P33" s="22" t="n">
        <x:f>E33*9.5</x:f>
        <x:v>7600</x:v>
      </x:c>
      <x:c r="Q33" s="18" t="str">
        <x:v>Узкое побережье, порты и горы</x:v>
      </x:c>
      <x:c r="R33" s="18" t="str">
        <x:v>Проектный профиль v1</x:v>
      </x:c>
      <x:c r="S33" s="18" t="str">
        <x:v>Экспертная классификация проекта</x:v>
      </x:c>
    </x:row>
    <x:row r="34">
      <x:c r="A34" s="18" t="str">
        <x:v>Венето и Фриули</x:v>
      </x:c>
      <x:c r="B34" s="18" t="str">
        <x:v>Италия</x:v>
      </x:c>
      <x:c r="C34" s="18" t="str">
        <x:v>Европа</x:v>
      </x:c>
      <x:c r="D34" s="18" t="str">
        <x:v>P1</x:v>
      </x:c>
      <x:c r="E34" s="22" t="n">
        <x:v>900</x:v>
      </x:c>
      <x:c r="F34" s="22" t="n">
        <x:v>1</x:v>
      </x:c>
      <x:c r="G34" s="22" t="n">
        <x:v>12</x:v>
      </x:c>
      <x:c r="H34" s="22" t="n">
        <x:v>1.85</x:v>
      </x:c>
      <x:c r="I34" s="22" t="n">
        <x:v>1.15</x:v>
      </x:c>
      <x:c r="J34" s="22" t="n">
        <x:f>E34*1.5</x:f>
        <x:v>1350</x:v>
      </x:c>
      <x:c r="K34" s="22" t="n">
        <x:f>E34*2.5</x:f>
        <x:v>2250</x:v>
      </x:c>
      <x:c r="L34" s="22" t="n">
        <x:f>E34*3.5</x:f>
        <x:v>3150</x:v>
      </x:c>
      <x:c r="M34" s="22" t="n">
        <x:f>E34*4.5</x:f>
        <x:v>4050</x:v>
      </x:c>
      <x:c r="N34" s="22" t="n">
        <x:f>E34*5.5</x:f>
        <x:v>4950</x:v>
      </x:c>
      <x:c r="O34" s="22" t="n">
        <x:f>E34*7.5</x:f>
        <x:v>6750</x:v>
      </x:c>
      <x:c r="P34" s="22" t="n">
        <x:f>E34*9.5</x:f>
        <x:v>8550</x:v>
      </x:c>
      <x:c r="Q34" s="18" t="str">
        <x:v>Города, лагуны и равнины</x:v>
      </x:c>
      <x:c r="R34" s="18" t="str">
        <x:v>Проектный профиль v1</x:v>
      </x:c>
      <x:c r="S34" s="18" t="str">
        <x:v>Экспертная классификация проекта</x:v>
      </x:c>
    </x:row>
    <x:row r="35">
      <x:c r="A35" s="18" t="str">
        <x:v>Эмилия-Романья</x:v>
      </x:c>
      <x:c r="B35" s="18" t="str">
        <x:v>Италия</x:v>
      </x:c>
      <x:c r="C35" s="18" t="str">
        <x:v>Европа</x:v>
      </x:c>
      <x:c r="D35" s="18" t="str">
        <x:v>P1</x:v>
      </x:c>
      <x:c r="E35" s="22" t="n">
        <x:v>1000</x:v>
      </x:c>
      <x:c r="F35" s="22" t="n">
        <x:v>1</x:v>
      </x:c>
      <x:c r="G35" s="22" t="n">
        <x:v>12</x:v>
      </x:c>
      <x:c r="H35" s="22" t="n">
        <x:v>1.8</x:v>
      </x:c>
      <x:c r="I35" s="22" t="n">
        <x:v>1.05</x:v>
      </x:c>
      <x:c r="J35" s="22" t="n">
        <x:f>E35*1.5</x:f>
        <x:v>1500</x:v>
      </x:c>
      <x:c r="K35" s="22" t="n">
        <x:f>E35*2.5</x:f>
        <x:v>2500</x:v>
      </x:c>
      <x:c r="L35" s="22" t="n">
        <x:f>E35*3.5</x:f>
        <x:v>3500</x:v>
      </x:c>
      <x:c r="M35" s="22" t="n">
        <x:f>E35*4.5</x:f>
        <x:v>4500</x:v>
      </x:c>
      <x:c r="N35" s="22" t="n">
        <x:f>E35*5.5</x:f>
        <x:v>5500</x:v>
      </x:c>
      <x:c r="O35" s="22" t="n">
        <x:f>E35*7.5</x:f>
        <x:v>7500</x:v>
      </x:c>
      <x:c r="P35" s="22" t="n">
        <x:f>E35*9.5</x:f>
        <x:v>9500</x:v>
      </x:c>
      <x:c r="Q35" s="18" t="str">
        <x:v>Плотная сеть городов и сельского хозяйства</x:v>
      </x:c>
      <x:c r="R35" s="18" t="str">
        <x:v>Проектный профиль v1</x:v>
      </x:c>
      <x:c r="S35" s="18" t="str">
        <x:v>Экспертная классификация проекта</x:v>
      </x:c>
    </x:row>
    <x:row r="36">
      <x:c r="A36" s="18" t="str">
        <x:v>Тоскана</x:v>
      </x:c>
      <x:c r="B36" s="18" t="str">
        <x:v>Италия</x:v>
      </x:c>
      <x:c r="C36" s="18" t="str">
        <x:v>Европа</x:v>
      </x:c>
      <x:c r="D36" s="18" t="str">
        <x:v>P2</x:v>
      </x:c>
      <x:c r="E36" s="22" t="n">
        <x:v>1200</x:v>
      </x:c>
      <x:c r="F36" s="22" t="n">
        <x:v>1</x:v>
      </x:c>
      <x:c r="G36" s="22" t="n">
        <x:v>12</x:v>
      </x:c>
      <x:c r="H36" s="22" t="n">
        <x:v>1.65</x:v>
      </x:c>
      <x:c r="I36" s="22" t="n">
        <x:v>1.15</x:v>
      </x:c>
      <x:c r="J36" s="22" t="n">
        <x:f>E36*1.5</x:f>
        <x:v>1800</x:v>
      </x:c>
      <x:c r="K36" s="22" t="n">
        <x:f>E36*2.5</x:f>
        <x:v>3000</x:v>
      </x:c>
      <x:c r="L36" s="22" t="n">
        <x:f>E36*3.5</x:f>
        <x:v>4200</x:v>
      </x:c>
      <x:c r="M36" s="22" t="n">
        <x:f>E36*4.5</x:f>
        <x:v>5400</x:v>
      </x:c>
      <x:c r="N36" s="22" t="n">
        <x:f>E36*5.5</x:f>
        <x:v>6600</x:v>
      </x:c>
      <x:c r="O36" s="22" t="n">
        <x:f>E36*7.5</x:f>
        <x:v>9000</x:v>
      </x:c>
      <x:c r="P36" s="22" t="n">
        <x:f>E36*9.5</x:f>
        <x:v>11400</x:v>
      </x:c>
      <x:c r="Q36" s="18" t="str">
        <x:v>Плотная сеть городов и холмы</x:v>
      </x:c>
      <x:c r="R36" s="18" t="str">
        <x:v>Проектный профиль v1</x:v>
      </x:c>
      <x:c r="S36" s="18" t="str">
        <x:v>Экспертная классификация проекта</x:v>
      </x:c>
    </x:row>
    <x:row r="37">
      <x:c r="A37" s="18" t="str">
        <x:v>Папская область</x:v>
      </x:c>
      <x:c r="B37" s="18" t="str">
        <x:v>Италия</x:v>
      </x:c>
      <x:c r="C37" s="18" t="str">
        <x:v>Европа</x:v>
      </x:c>
      <x:c r="D37" s="18" t="str">
        <x:v>P2</x:v>
      </x:c>
      <x:c r="E37" s="22" t="n">
        <x:v>1450</x:v>
      </x:c>
      <x:c r="F37" s="22" t="n">
        <x:v>1</x:v>
      </x:c>
      <x:c r="G37" s="22" t="n">
        <x:v>12</x:v>
      </x:c>
      <x:c r="H37" s="22" t="n">
        <x:v>1.5</x:v>
      </x:c>
      <x:c r="I37" s="22" t="n">
        <x:v>1.15</x:v>
      </x:c>
      <x:c r="J37" s="22" t="n">
        <x:f>E37*1.5</x:f>
        <x:v>2175</x:v>
      </x:c>
      <x:c r="K37" s="22" t="n">
        <x:f>E37*2.5</x:f>
        <x:v>3625</x:v>
      </x:c>
      <x:c r="L37" s="22" t="n">
        <x:f>E37*3.5</x:f>
        <x:v>5075</x:v>
      </x:c>
      <x:c r="M37" s="22" t="n">
        <x:f>E37*4.5</x:f>
        <x:v>6525</x:v>
      </x:c>
      <x:c r="N37" s="22" t="n">
        <x:f>E37*5.5</x:f>
        <x:v>7975</x:v>
      </x:c>
      <x:c r="O37" s="22" t="n">
        <x:f>E37*7.5</x:f>
        <x:v>10875</x:v>
      </x:c>
      <x:c r="P37" s="22" t="n">
        <x:f>E37*9.5</x:f>
        <x:v>13775</x:v>
      </x:c>
      <x:c r="Q37" s="18" t="str">
        <x:v>Римское ядро и Апеннины</x:v>
      </x:c>
      <x:c r="R37" s="18" t="str">
        <x:v>Проектный профиль v1</x:v>
      </x:c>
      <x:c r="S37" s="18" t="str">
        <x:v>Экспертная классификация проекта</x:v>
      </x:c>
    </x:row>
    <x:row r="38">
      <x:c r="A38" s="18" t="str">
        <x:v>Абруцци и Марке</x:v>
      </x:c>
      <x:c r="B38" s="18" t="str">
        <x:v>Италия</x:v>
      </x:c>
      <x:c r="C38" s="18" t="str">
        <x:v>Европа</x:v>
      </x:c>
      <x:c r="D38" s="18" t="str">
        <x:v>P3</x:v>
      </x:c>
      <x:c r="E38" s="22" t="n">
        <x:v>1700</x:v>
      </x:c>
      <x:c r="F38" s="22" t="n">
        <x:v>1</x:v>
      </x:c>
      <x:c r="G38" s="22" t="n">
        <x:v>12</x:v>
      </x:c>
      <x:c r="H38" s="22" t="n">
        <x:v>1.2</x:v>
      </x:c>
      <x:c r="I38" s="22" t="n">
        <x:v>1.25</x:v>
      </x:c>
      <x:c r="J38" s="22" t="n">
        <x:f>E38*1.5</x:f>
        <x:v>2550</x:v>
      </x:c>
      <x:c r="K38" s="22" t="n">
        <x:f>E38*2.5</x:f>
        <x:v>4250</x:v>
      </x:c>
      <x:c r="L38" s="22" t="n">
        <x:f>E38*3.5</x:f>
        <x:v>5950</x:v>
      </x:c>
      <x:c r="M38" s="22" t="n">
        <x:f>E38*4.5</x:f>
        <x:v>7650</x:v>
      </x:c>
      <x:c r="N38" s="22" t="n">
        <x:f>E38*5.5</x:f>
        <x:v>9350</x:v>
      </x:c>
      <x:c r="O38" s="22" t="n">
        <x:f>E38*7.5</x:f>
        <x:v>12750</x:v>
      </x:c>
      <x:c r="P38" s="22" t="n">
        <x:f>E38*9.5</x:f>
        <x:v>16150</x:v>
      </x:c>
      <x:c r="Q38" s="18" t="str">
        <x:v>Узкие долины и горы</x:v>
      </x:c>
      <x:c r="R38" s="18" t="str">
        <x:v>Проектный профиль v1</x:v>
      </x:c>
      <x:c r="S38" s="18" t="str">
        <x:v>Экспертная классификация проекта</x:v>
      </x:c>
    </x:row>
    <x:row r="39">
      <x:c r="A39" s="18" t="str">
        <x:v>Кампания</x:v>
      </x:c>
      <x:c r="B39" s="18" t="str">
        <x:v>Италия</x:v>
      </x:c>
      <x:c r="C39" s="18" t="str">
        <x:v>Европа</x:v>
      </x:c>
      <x:c r="D39" s="18" t="str">
        <x:v>P2</x:v>
      </x:c>
      <x:c r="E39" s="22" t="n">
        <x:v>1200</x:v>
      </x:c>
      <x:c r="F39" s="22" t="n">
        <x:v>1</x:v>
      </x:c>
      <x:c r="G39" s="22" t="n">
        <x:v>12</x:v>
      </x:c>
      <x:c r="H39" s="22" t="n">
        <x:v>1.7</x:v>
      </x:c>
      <x:c r="I39" s="22" t="n">
        <x:v>1.2</x:v>
      </x:c>
      <x:c r="J39" s="22" t="n">
        <x:f>E39*1.5</x:f>
        <x:v>1800</x:v>
      </x:c>
      <x:c r="K39" s="22" t="n">
        <x:f>E39*2.5</x:f>
        <x:v>3000</x:v>
      </x:c>
      <x:c r="L39" s="22" t="n">
        <x:f>E39*3.5</x:f>
        <x:v>4200</x:v>
      </x:c>
      <x:c r="M39" s="22" t="n">
        <x:f>E39*4.5</x:f>
        <x:v>5400</x:v>
      </x:c>
      <x:c r="N39" s="22" t="n">
        <x:f>E39*5.5</x:f>
        <x:v>6600</x:v>
      </x:c>
      <x:c r="O39" s="22" t="n">
        <x:f>E39*7.5</x:f>
        <x:v>9000</x:v>
      </x:c>
      <x:c r="P39" s="22" t="n">
        <x:f>E39*9.5</x:f>
        <x:v>11400</x:v>
      </x:c>
      <x:c r="Q39" s="18" t="str">
        <x:v>Неаполь и плотное побережье</x:v>
      </x:c>
      <x:c r="R39" s="18" t="str">
        <x:v>Проектный профиль v1</x:v>
      </x:c>
      <x:c r="S39" s="18" t="str">
        <x:v>Экспертная классификация проекта</x:v>
      </x:c>
    </x:row>
    <x:row r="40">
      <x:c r="A40" s="18" t="str">
        <x:v>Апулия и Базиликата</x:v>
      </x:c>
      <x:c r="B40" s="18" t="str">
        <x:v>Италия</x:v>
      </x:c>
      <x:c r="C40" s="18" t="str">
        <x:v>Европа</x:v>
      </x:c>
      <x:c r="D40" s="18" t="str">
        <x:v>P3</x:v>
      </x:c>
      <x:c r="E40" s="22" t="n">
        <x:v>1900</x:v>
      </x:c>
      <x:c r="F40" s="22" t="n">
        <x:v>1</x:v>
      </x:c>
      <x:c r="G40" s="22" t="n">
        <x:v>12</x:v>
      </x:c>
      <x:c r="H40" s="22" t="n">
        <x:v>1.15</x:v>
      </x:c>
      <x:c r="I40" s="22" t="n">
        <x:v>1.1</x:v>
      </x:c>
      <x:c r="J40" s="22" t="n">
        <x:f>E40*1.5</x:f>
        <x:v>2850</x:v>
      </x:c>
      <x:c r="K40" s="22" t="n">
        <x:f>E40*2.5</x:f>
        <x:v>4750</x:v>
      </x:c>
      <x:c r="L40" s="22" t="n">
        <x:f>E40*3.5</x:f>
        <x:v>6650</x:v>
      </x:c>
      <x:c r="M40" s="22" t="n">
        <x:f>E40*4.5</x:f>
        <x:v>8550</x:v>
      </x:c>
      <x:c r="N40" s="22" t="n">
        <x:f>E40*5.5</x:f>
        <x:v>10450</x:v>
      </x:c>
      <x:c r="O40" s="22" t="n">
        <x:f>E40*7.5</x:f>
        <x:v>14250</x:v>
      </x:c>
      <x:c r="P40" s="22" t="n">
        <x:f>E40*9.5</x:f>
        <x:v>18050</x:v>
      </x:c>
      <x:c r="Q40" s="18" t="str">
        <x:v>Вытянутый полуостров и аграрные районы</x:v>
      </x:c>
      <x:c r="R40" s="18" t="str">
        <x:v>Проектный профиль v1</x:v>
      </x:c>
      <x:c r="S40" s="18" t="str">
        <x:v>Экспертная классификация проекта</x:v>
      </x:c>
    </x:row>
    <x:row r="41">
      <x:c r="A41" s="18" t="str">
        <x:v>Калабрия</x:v>
      </x:c>
      <x:c r="B41" s="18" t="str">
        <x:v>Италия</x:v>
      </x:c>
      <x:c r="C41" s="18" t="str">
        <x:v>Европа</x:v>
      </x:c>
      <x:c r="D41" s="18" t="str">
        <x:v>P3</x:v>
      </x:c>
      <x:c r="E41" s="22" t="n">
        <x:v>1700</x:v>
      </x:c>
      <x:c r="F41" s="22" t="n">
        <x:v>1</x:v>
      </x:c>
      <x:c r="G41" s="22" t="n">
        <x:v>10</x:v>
      </x:c>
      <x:c r="H41" s="22" t="n">
        <x:v>1</x:v>
      </x:c>
      <x:c r="I41" s="22" t="n">
        <x:v>1.3</x:v>
      </x:c>
      <x:c r="J41" s="22" t="n">
        <x:f>E41*1.5</x:f>
        <x:v>2550</x:v>
      </x:c>
      <x:c r="K41" s="22" t="n">
        <x:f>E41*2.5</x:f>
        <x:v>4250</x:v>
      </x:c>
      <x:c r="L41" s="22" t="n">
        <x:f>E41*3.5</x:f>
        <x:v>5950</x:v>
      </x:c>
      <x:c r="M41" s="22" t="n">
        <x:f>E41*4.5</x:f>
        <x:v>7650</x:v>
      </x:c>
      <x:c r="N41" s="22" t="n">
        <x:f>E41*5.5</x:f>
        <x:v>9350</x:v>
      </x:c>
      <x:c r="O41" s="22" t="n">
        <x:f>E41*7.5</x:f>
        <x:v>12750</x:v>
      </x:c>
      <x:c r="P41" s="22" t="n">
        <x:f>E41*9.5</x:f>
        <x:v>16150</x:v>
      </x:c>
      <x:c r="Q41" s="18" t="str">
        <x:v>Узкий горный полуостров</x:v>
      </x:c>
      <x:c r="R41" s="18" t="str">
        <x:v>Проектный профиль v1</x:v>
      </x:c>
      <x:c r="S41" s="18" t="str">
        <x:v>Экспертная классификация проекта</x:v>
      </x:c>
    </x:row>
    <x:row r="42">
      <x:c r="A42" s="18" t="str">
        <x:v>Сицилия</x:v>
      </x:c>
      <x:c r="B42" s="18" t="str">
        <x:v>Италия</x:v>
      </x:c>
      <x:c r="C42" s="18" t="str">
        <x:v>Европа</x:v>
      </x:c>
      <x:c r="D42" s="18" t="str">
        <x:v>P3</x:v>
      </x:c>
      <x:c r="E42" s="22" t="n">
        <x:v>1800</x:v>
      </x:c>
      <x:c r="F42" s="22" t="n">
        <x:v>1</x:v>
      </x:c>
      <x:c r="G42" s="22" t="n">
        <x:v>12</x:v>
      </x:c>
      <x:c r="H42" s="22" t="n">
        <x:v>1.25</x:v>
      </x:c>
      <x:c r="I42" s="22" t="n">
        <x:v>1.2</x:v>
      </x:c>
      <x:c r="J42" s="22" t="n">
        <x:f>E42*1.5</x:f>
        <x:v>2700</x:v>
      </x:c>
      <x:c r="K42" s="22" t="n">
        <x:f>E42*2.5</x:f>
        <x:v>4500</x:v>
      </x:c>
      <x:c r="L42" s="22" t="n">
        <x:f>E42*3.5</x:f>
        <x:v>6300</x:v>
      </x:c>
      <x:c r="M42" s="22" t="n">
        <x:f>E42*4.5</x:f>
        <x:v>8100</x:v>
      </x:c>
      <x:c r="N42" s="22" t="n">
        <x:f>E42*5.5</x:f>
        <x:v>9900</x:v>
      </x:c>
      <x:c r="O42" s="22" t="n">
        <x:f>E42*7.5</x:f>
        <x:v>13500</x:v>
      </x:c>
      <x:c r="P42" s="22" t="n">
        <x:f>E42*9.5</x:f>
        <x:v>17100</x:v>
      </x:c>
      <x:c r="Q42" s="18" t="str">
        <x:v>Островная и исторически насыщенная территория</x:v>
      </x:c>
      <x:c r="R42" s="18" t="str">
        <x:v>Проектный профиль v1</x:v>
      </x:c>
      <x:c r="S42" s="18" t="str">
        <x:v>Экспертная классификация проекта</x:v>
      </x:c>
    </x:row>
    <x:row r="43">
      <x:c r="A43" s="18" t="str">
        <x:v>Сардиния и Корсика</x:v>
      </x:c>
      <x:c r="B43" s="18" t="str">
        <x:v>Италия</x:v>
      </x:c>
      <x:c r="C43" s="18" t="str">
        <x:v>Европа</x:v>
      </x:c>
      <x:c r="D43" s="18" t="str">
        <x:v>P4</x:v>
      </x:c>
      <x:c r="E43" s="22" t="n">
        <x:v>3000</x:v>
      </x:c>
      <x:c r="F43" s="22" t="n">
        <x:v>1</x:v>
      </x:c>
      <x:c r="G43" s="22" t="n">
        <x:v>10</x:v>
      </x:c>
      <x:c r="H43" s="22" t="n">
        <x:v>0.75</x:v>
      </x:c>
      <x:c r="I43" s="22" t="n">
        <x:v>1.25</x:v>
      </x:c>
      <x:c r="J43" s="22" t="n">
        <x:f>E43*1.5</x:f>
        <x:v>4500</x:v>
      </x:c>
      <x:c r="K43" s="22" t="n">
        <x:f>E43*2.5</x:f>
        <x:v>7500</x:v>
      </x:c>
      <x:c r="L43" s="22" t="n">
        <x:f>E43*3.5</x:f>
        <x:v>10500</x:v>
      </x:c>
      <x:c r="M43" s="22" t="n">
        <x:f>E43*4.5</x:f>
        <x:v>13500</x:v>
      </x:c>
      <x:c r="N43" s="22" t="n">
        <x:f>E43*5.5</x:f>
        <x:v>16500</x:v>
      </x:c>
      <x:c r="O43" s="22" t="n">
        <x:f>E43*7.5</x:f>
        <x:v>22500</x:v>
      </x:c>
      <x:c r="P43" s="22" t="n">
        <x:f>E43*9.5</x:f>
        <x:v>28500</x:v>
      </x:c>
      <x:c r="Q43" s="18" t="str">
        <x:v>Крупные острова, горы и редкая сеть</x:v>
      </x:c>
      <x:c r="R43" s="18" t="str">
        <x:v>Проектный профиль v1</x:v>
      </x:c>
      <x:c r="S43" s="18" t="str">
        <x:v>Экспертная классификация проекта</x:v>
      </x:c>
    </x:row>
    <x:row r="44">
      <x:c r="A44" s="18" t="str">
        <x:v>Рейнская область</x:v>
      </x:c>
      <x:c r="B44" s="18" t="str">
        <x:v>Центральная Европа</x:v>
      </x:c>
      <x:c r="C44" s="18" t="str">
        <x:v>Европа</x:v>
      </x:c>
      <x:c r="D44" s="18" t="str">
        <x:v>P2</x:v>
      </x:c>
      <x:c r="E44" s="22" t="n">
        <x:v>1200</x:v>
      </x:c>
      <x:c r="F44" s="22" t="n">
        <x:v>1</x:v>
      </x:c>
      <x:c r="G44" s="22" t="n">
        <x:v>12</x:v>
      </x:c>
      <x:c r="H44" s="22" t="n">
        <x:v>1.7</x:v>
      </x:c>
      <x:c r="I44" s="22" t="n">
        <x:v>1.1</x:v>
      </x:c>
      <x:c r="J44" s="22" t="n">
        <x:f>E44*1.5</x:f>
        <x:v>1800</x:v>
      </x:c>
      <x:c r="K44" s="22" t="n">
        <x:f>E44*2.5</x:f>
        <x:v>3000</x:v>
      </x:c>
      <x:c r="L44" s="22" t="n">
        <x:f>E44*3.5</x:f>
        <x:v>4200</x:v>
      </x:c>
      <x:c r="M44" s="22" t="n">
        <x:f>E44*4.5</x:f>
        <x:v>5400</x:v>
      </x:c>
      <x:c r="N44" s="22" t="n">
        <x:f>E44*5.5</x:f>
        <x:v>6600</x:v>
      </x:c>
      <x:c r="O44" s="22" t="n">
        <x:f>E44*7.5</x:f>
        <x:v>9000</x:v>
      </x:c>
      <x:c r="P44" s="22" t="n">
        <x:f>E44*9.5</x:f>
        <x:v>11400</x:v>
      </x:c>
      <x:c r="Q44" s="18" t="str">
        <x:v>Речная и городская ось Европы</x:v>
      </x:c>
      <x:c r="R44" s="18" t="str">
        <x:v>Проектный профиль v1</x:v>
      </x:c>
      <x:c r="S44" s="18" t="str">
        <x:v>Экспертная классификация проекта</x:v>
      </x:c>
    </x:row>
    <x:row r="45">
      <x:c r="A45" s="18" t="str">
        <x:v>Вестфалия</x:v>
      </x:c>
      <x:c r="B45" s="18" t="str">
        <x:v>Центральная Европа</x:v>
      </x:c>
      <x:c r="C45" s="18" t="str">
        <x:v>Европа</x:v>
      </x:c>
      <x:c r="D45" s="18" t="str">
        <x:v>P3</x:v>
      </x:c>
      <x:c r="E45" s="22" t="n">
        <x:v>1600</x:v>
      </x:c>
      <x:c r="F45" s="22" t="n">
        <x:v>1</x:v>
      </x:c>
      <x:c r="G45" s="22" t="n">
        <x:v>12</x:v>
      </x:c>
      <x:c r="H45" s="22" t="n">
        <x:v>1.45</x:v>
      </x:c>
      <x:c r="I45" s="22" t="n">
        <x:v>1.05</x:v>
      </x:c>
      <x:c r="J45" s="22" t="n">
        <x:f>E45*1.5</x:f>
        <x:v>2400</x:v>
      </x:c>
      <x:c r="K45" s="22" t="n">
        <x:f>E45*2.5</x:f>
        <x:v>4000</x:v>
      </x:c>
      <x:c r="L45" s="22" t="n">
        <x:f>E45*3.5</x:f>
        <x:v>5600</x:v>
      </x:c>
      <x:c r="M45" s="22" t="n">
        <x:f>E45*4.5</x:f>
        <x:v>7200</x:v>
      </x:c>
      <x:c r="N45" s="22" t="n">
        <x:f>E45*5.5</x:f>
        <x:v>8800</x:v>
      </x:c>
      <x:c r="O45" s="22" t="n">
        <x:f>E45*7.5</x:f>
        <x:v>12000</x:v>
      </x:c>
      <x:c r="P45" s="22" t="n">
        <x:f>E45*9.5</x:f>
        <x:v>15200</x:v>
      </x:c>
      <x:c r="Q45" s="18" t="str">
        <x:v>Плотная сеть поселений</x:v>
      </x:c>
      <x:c r="R45" s="18" t="str">
        <x:v>Проектный профиль v1</x:v>
      </x:c>
      <x:c r="S45" s="18" t="str">
        <x:v>Экспертная классификация проекта</x:v>
      </x:c>
    </x:row>
    <x:row r="46">
      <x:c r="A46" s="18" t="str">
        <x:v>Гессен</x:v>
      </x:c>
      <x:c r="B46" s="18" t="str">
        <x:v>Центральная Европа</x:v>
      </x:c>
      <x:c r="C46" s="18" t="str">
        <x:v>Европа</x:v>
      </x:c>
      <x:c r="D46" s="18" t="str">
        <x:v>P3</x:v>
      </x:c>
      <x:c r="E46" s="22" t="n">
        <x:v>1800</x:v>
      </x:c>
      <x:c r="F46" s="22" t="n">
        <x:v>1</x:v>
      </x:c>
      <x:c r="G46" s="22" t="n">
        <x:v>12</x:v>
      </x:c>
      <x:c r="H46" s="22" t="n">
        <x:v>1.35</x:v>
      </x:c>
      <x:c r="I46" s="22" t="n">
        <x:v>1.1</x:v>
      </x:c>
      <x:c r="J46" s="22" t="n">
        <x:f>E46*1.5</x:f>
        <x:v>2700</x:v>
      </x:c>
      <x:c r="K46" s="22" t="n">
        <x:f>E46*2.5</x:f>
        <x:v>4500</x:v>
      </x:c>
      <x:c r="L46" s="22" t="n">
        <x:f>E46*3.5</x:f>
        <x:v>6300</x:v>
      </x:c>
      <x:c r="M46" s="22" t="n">
        <x:f>E46*4.5</x:f>
        <x:v>8100</x:v>
      </x:c>
      <x:c r="N46" s="22" t="n">
        <x:f>E46*5.5</x:f>
        <x:v>9900</x:v>
      </x:c>
      <x:c r="O46" s="22" t="n">
        <x:f>E46*7.5</x:f>
        <x:v>13500</x:v>
      </x:c>
      <x:c r="P46" s="22" t="n">
        <x:f>E46*9.5</x:f>
        <x:v>17100</x:v>
      </x:c>
      <x:c r="Q46" s="18" t="str">
        <x:v>Холмы и речные долины</x:v>
      </x:c>
      <x:c r="R46" s="18" t="str">
        <x:v>Проектный профиль v1</x:v>
      </x:c>
      <x:c r="S46" s="18" t="str">
        <x:v>Экспертная классификация проекта</x:v>
      </x:c>
    </x:row>
    <x:row r="47">
      <x:c r="A47" s="18" t="str">
        <x:v>Бавария и Франкония</x:v>
      </x:c>
      <x:c r="B47" s="18" t="str">
        <x:v>Центральная Европа</x:v>
      </x:c>
      <x:c r="C47" s="18" t="str">
        <x:v>Европа</x:v>
      </x:c>
      <x:c r="D47" s="18" t="str">
        <x:v>P3</x:v>
      </x:c>
      <x:c r="E47" s="22" t="n">
        <x:v>1900</x:v>
      </x:c>
      <x:c r="F47" s="22" t="n">
        <x:v>1</x:v>
      </x:c>
      <x:c r="G47" s="22" t="n">
        <x:v>14</x:v>
      </x:c>
      <x:c r="H47" s="22" t="n">
        <x:v>1.25</x:v>
      </x:c>
      <x:c r="I47" s="22" t="n">
        <x:v>1.15</x:v>
      </x:c>
      <x:c r="J47" s="22" t="n">
        <x:f>E47*1.5</x:f>
        <x:v>2850</x:v>
      </x:c>
      <x:c r="K47" s="22" t="n">
        <x:f>E47*2.5</x:f>
        <x:v>4750</x:v>
      </x:c>
      <x:c r="L47" s="22" t="n">
        <x:f>E47*3.5</x:f>
        <x:v>6650</x:v>
      </x:c>
      <x:c r="M47" s="22" t="n">
        <x:f>E47*4.5</x:f>
        <x:v>8550</x:v>
      </x:c>
      <x:c r="N47" s="22" t="n">
        <x:f>E47*5.5</x:f>
        <x:v>10450</x:v>
      </x:c>
      <x:c r="O47" s="22" t="n">
        <x:f>E47*7.5</x:f>
        <x:v>14250</x:v>
      </x:c>
      <x:c r="P47" s="22" t="n">
        <x:f>E47*9.5</x:f>
        <x:v>18050</x:v>
      </x:c>
      <x:c r="Q47" s="18" t="str">
        <x:v>Равнины, холмы и исторические центры</x:v>
      </x:c>
      <x:c r="R47" s="18" t="str">
        <x:v>Проектный профиль v1</x:v>
      </x:c>
      <x:c r="S47" s="18" t="str">
        <x:v>Экспертная классификация проекта</x:v>
      </x:c>
    </x:row>
    <x:row r="48">
      <x:c r="A48" s="18" t="str">
        <x:v>Швабия</x:v>
      </x:c>
      <x:c r="B48" s="18" t="str">
        <x:v>Центральная Европа</x:v>
      </x:c>
      <x:c r="C48" s="18" t="str">
        <x:v>Европа</x:v>
      </x:c>
      <x:c r="D48" s="18" t="str">
        <x:v>P3</x:v>
      </x:c>
      <x:c r="E48" s="22" t="n">
        <x:v>1700</x:v>
      </x:c>
      <x:c r="F48" s="22" t="n">
        <x:v>1</x:v>
      </x:c>
      <x:c r="G48" s="22" t="n">
        <x:v>12</x:v>
      </x:c>
      <x:c r="H48" s="22" t="n">
        <x:v>1.35</x:v>
      </x:c>
      <x:c r="I48" s="22" t="n">
        <x:v>1.15</x:v>
      </x:c>
      <x:c r="J48" s="22" t="n">
        <x:f>E48*1.5</x:f>
        <x:v>2550</x:v>
      </x:c>
      <x:c r="K48" s="22" t="n">
        <x:f>E48*2.5</x:f>
        <x:v>4250</x:v>
      </x:c>
      <x:c r="L48" s="22" t="n">
        <x:f>E48*3.5</x:f>
        <x:v>5950</x:v>
      </x:c>
      <x:c r="M48" s="22" t="n">
        <x:f>E48*4.5</x:f>
        <x:v>7650</x:v>
      </x:c>
      <x:c r="N48" s="22" t="n">
        <x:f>E48*5.5</x:f>
        <x:v>9350</x:v>
      </x:c>
      <x:c r="O48" s="22" t="n">
        <x:f>E48*7.5</x:f>
        <x:v>12750</x:v>
      </x:c>
      <x:c r="P48" s="22" t="n">
        <x:f>E48*9.5</x:f>
        <x:v>16150</x:v>
      </x:c>
      <x:c r="Q48" s="18" t="str">
        <x:v>Плотные города и переход к Альпам</x:v>
      </x:c>
      <x:c r="R48" s="18" t="str">
        <x:v>Проектный профиль v1</x:v>
      </x:c>
      <x:c r="S48" s="18" t="str">
        <x:v>Экспертная классификация проекта</x:v>
      </x:c>
    </x:row>
    <x:row r="49">
      <x:c r="A49" s="18" t="str">
        <x:v>Саксония и Тюрингия</x:v>
      </x:c>
      <x:c r="B49" s="18" t="str">
        <x:v>Центральная Европа</x:v>
      </x:c>
      <x:c r="C49" s="18" t="str">
        <x:v>Европа</x:v>
      </x:c>
      <x:c r="D49" s="18" t="str">
        <x:v>P3</x:v>
      </x:c>
      <x:c r="E49" s="22" t="n">
        <x:v>1600</x:v>
      </x:c>
      <x:c r="F49" s="22" t="n">
        <x:v>1</x:v>
      </x:c>
      <x:c r="G49" s="22" t="n">
        <x:v>12</x:v>
      </x:c>
      <x:c r="H49" s="22" t="n">
        <x:v>1.45</x:v>
      </x:c>
      <x:c r="I49" s="22" t="n">
        <x:v>1.1</x:v>
      </x:c>
      <x:c r="J49" s="22" t="n">
        <x:f>E49*1.5</x:f>
        <x:v>2400</x:v>
      </x:c>
      <x:c r="K49" s="22" t="n">
        <x:f>E49*2.5</x:f>
        <x:v>4000</x:v>
      </x:c>
      <x:c r="L49" s="22" t="n">
        <x:f>E49*3.5</x:f>
        <x:v>5600</x:v>
      </x:c>
      <x:c r="M49" s="22" t="n">
        <x:f>E49*4.5</x:f>
        <x:v>7200</x:v>
      </x:c>
      <x:c r="N49" s="22" t="n">
        <x:f>E49*5.5</x:f>
        <x:v>8800</x:v>
      </x:c>
      <x:c r="O49" s="22" t="n">
        <x:f>E49*7.5</x:f>
        <x:v>12000</x:v>
      </x:c>
      <x:c r="P49" s="22" t="n">
        <x:f>E49*9.5</x:f>
        <x:v>15200</x:v>
      </x:c>
      <x:c r="Q49" s="18" t="str">
        <x:v>Плотная историческая область</x:v>
      </x:c>
      <x:c r="R49" s="18" t="str">
        <x:v>Проектный профиль v1</x:v>
      </x:c>
      <x:c r="S49" s="18" t="str">
        <x:v>Экспертная классификация проекта</x:v>
      </x:c>
    </x:row>
    <x:row r="50">
      <x:c r="A50" s="18" t="str">
        <x:v>Бранденбург</x:v>
      </x:c>
      <x:c r="B50" s="18" t="str">
        <x:v>Центральная Европа</x:v>
      </x:c>
      <x:c r="C50" s="18" t="str">
        <x:v>Европа</x:v>
      </x:c>
      <x:c r="D50" s="18" t="str">
        <x:v>P4</x:v>
      </x:c>
      <x:c r="E50" s="22" t="n">
        <x:v>2800</x:v>
      </x:c>
      <x:c r="F50" s="22" t="n">
        <x:v>1</x:v>
      </x:c>
      <x:c r="G50" s="22" t="n">
        <x:v>14</x:v>
      </x:c>
      <x:c r="H50" s="22" t="n">
        <x:v>0.95</x:v>
      </x:c>
      <x:c r="I50" s="22" t="n">
        <x:v>1.05</x:v>
      </x:c>
      <x:c r="J50" s="22" t="n">
        <x:f>E50*1.5</x:f>
        <x:v>4200</x:v>
      </x:c>
      <x:c r="K50" s="22" t="n">
        <x:f>E50*2.5</x:f>
        <x:v>7000</x:v>
      </x:c>
      <x:c r="L50" s="22" t="n">
        <x:f>E50*3.5</x:f>
        <x:v>9800</x:v>
      </x:c>
      <x:c r="M50" s="22" t="n">
        <x:f>E50*4.5</x:f>
        <x:v>12600</x:v>
      </x:c>
      <x:c r="N50" s="22" t="n">
        <x:f>E50*5.5</x:f>
        <x:v>15400</x:v>
      </x:c>
      <x:c r="O50" s="22" t="n">
        <x:f>E50*7.5</x:f>
        <x:v>21000</x:v>
      </x:c>
      <x:c r="P50" s="22" t="n">
        <x:f>E50*9.5</x:f>
        <x:v>26600</x:v>
      </x:c>
      <x:c r="Q50" s="18" t="str">
        <x:v>Широкие равнинные территории</x:v>
      </x:c>
      <x:c r="R50" s="18" t="str">
        <x:v>Проектный профиль v1</x:v>
      </x:c>
      <x:c r="S50" s="18" t="str">
        <x:v>Экспертная классификация проекта</x:v>
      </x:c>
    </x:row>
    <x:row r="51">
      <x:c r="A51" s="18" t="str">
        <x:v>Померания и Мекленбург</x:v>
      </x:c>
      <x:c r="B51" s="18" t="str">
        <x:v>Центральная Европа</x:v>
      </x:c>
      <x:c r="C51" s="18" t="str">
        <x:v>Европа</x:v>
      </x:c>
      <x:c r="D51" s="18" t="str">
        <x:v>P4</x:v>
      </x:c>
      <x:c r="E51" s="22" t="n">
        <x:v>3000</x:v>
      </x:c>
      <x:c r="F51" s="22" t="n">
        <x:v>1</x:v>
      </x:c>
      <x:c r="G51" s="22" t="n">
        <x:v>12</x:v>
      </x:c>
      <x:c r="H51" s="22" t="n">
        <x:v>0.85</x:v>
      </x:c>
      <x:c r="I51" s="22" t="n">
        <x:v>1.1</x:v>
      </x:c>
      <x:c r="J51" s="22" t="n">
        <x:f>E51*1.5</x:f>
        <x:v>4500</x:v>
      </x:c>
      <x:c r="K51" s="22" t="n">
        <x:f>E51*2.5</x:f>
        <x:v>7500</x:v>
      </x:c>
      <x:c r="L51" s="22" t="n">
        <x:f>E51*3.5</x:f>
        <x:v>10500</x:v>
      </x:c>
      <x:c r="M51" s="22" t="n">
        <x:f>E51*4.5</x:f>
        <x:v>13500</x:v>
      </x:c>
      <x:c r="N51" s="22" t="n">
        <x:f>E51*5.5</x:f>
        <x:v>16500</x:v>
      </x:c>
      <x:c r="O51" s="22" t="n">
        <x:f>E51*7.5</x:f>
        <x:v>22500</x:v>
      </x:c>
      <x:c r="P51" s="22" t="n">
        <x:f>E51*9.5</x:f>
        <x:v>28500</x:v>
      </x:c>
      <x:c r="Q51" s="18" t="str">
        <x:v>Побережье, озёра и редкая сеть</x:v>
      </x:c>
      <x:c r="R51" s="18" t="str">
        <x:v>Проектный профиль v1</x:v>
      </x:c>
      <x:c r="S51" s="18" t="str">
        <x:v>Экспертная классификация проекта</x:v>
      </x:c>
    </x:row>
    <x:row r="52">
      <x:c r="A52" s="18" t="str">
        <x:v>Богемия</x:v>
      </x:c>
      <x:c r="B52" s="18" t="str">
        <x:v>Центральная Европа</x:v>
      </x:c>
      <x:c r="C52" s="18" t="str">
        <x:v>Европа</x:v>
      </x:c>
      <x:c r="D52" s="18" t="str">
        <x:v>P3</x:v>
      </x:c>
      <x:c r="E52" s="22" t="n">
        <x:v>1500</x:v>
      </x:c>
      <x:c r="F52" s="22" t="n">
        <x:v>1</x:v>
      </x:c>
      <x:c r="G52" s="22" t="n">
        <x:v>12</x:v>
      </x:c>
      <x:c r="H52" s="22" t="n">
        <x:v>1.5</x:v>
      </x:c>
      <x:c r="I52" s="22" t="n">
        <x:v>1.15</x:v>
      </x:c>
      <x:c r="J52" s="22" t="n">
        <x:f>E52*1.5</x:f>
        <x:v>2250</x:v>
      </x:c>
      <x:c r="K52" s="22" t="n">
        <x:f>E52*2.5</x:f>
        <x:v>3750</x:v>
      </x:c>
      <x:c r="L52" s="22" t="n">
        <x:f>E52*3.5</x:f>
        <x:v>5250</x:v>
      </x:c>
      <x:c r="M52" s="22" t="n">
        <x:f>E52*4.5</x:f>
        <x:v>6750</x:v>
      </x:c>
      <x:c r="N52" s="22" t="n">
        <x:f>E52*5.5</x:f>
        <x:v>8250</x:v>
      </x:c>
      <x:c r="O52" s="22" t="n">
        <x:f>E52*7.5</x:f>
        <x:v>11250</x:v>
      </x:c>
      <x:c r="P52" s="22" t="n">
        <x:f>E52*9.5</x:f>
        <x:v>14250</x:v>
      </x:c>
      <x:c r="Q52" s="18" t="str">
        <x:v>Котловина и горная рамка</x:v>
      </x:c>
      <x:c r="R52" s="18" t="str">
        <x:v>Проектный профиль v1</x:v>
      </x:c>
      <x:c r="S52" s="18" t="str">
        <x:v>Экспертная классификация проекта</x:v>
      </x:c>
    </x:row>
    <x:row r="53">
      <x:c r="A53" s="18" t="str">
        <x:v>Моравия и Силезия</x:v>
      </x:c>
      <x:c r="B53" s="18" t="str">
        <x:v>Центральная Европа</x:v>
      </x:c>
      <x:c r="C53" s="18" t="str">
        <x:v>Европа</x:v>
      </x:c>
      <x:c r="D53" s="18" t="str">
        <x:v>P3</x:v>
      </x:c>
      <x:c r="E53" s="22" t="n">
        <x:v>1600</x:v>
      </x:c>
      <x:c r="F53" s="22" t="n">
        <x:v>1</x:v>
      </x:c>
      <x:c r="G53" s="22" t="n">
        <x:v>12</x:v>
      </x:c>
      <x:c r="H53" s="22" t="n">
        <x:v>1.45</x:v>
      </x:c>
      <x:c r="I53" s="22" t="n">
        <x:v>1.1</x:v>
      </x:c>
      <x:c r="J53" s="22" t="n">
        <x:f>E53*1.5</x:f>
        <x:v>2400</x:v>
      </x:c>
      <x:c r="K53" s="22" t="n">
        <x:f>E53*2.5</x:f>
        <x:v>4000</x:v>
      </x:c>
      <x:c r="L53" s="22" t="n">
        <x:f>E53*3.5</x:f>
        <x:v>5600</x:v>
      </x:c>
      <x:c r="M53" s="22" t="n">
        <x:f>E53*4.5</x:f>
        <x:v>7200</x:v>
      </x:c>
      <x:c r="N53" s="22" t="n">
        <x:f>E53*5.5</x:f>
        <x:v>8800</x:v>
      </x:c>
      <x:c r="O53" s="22" t="n">
        <x:f>E53*7.5</x:f>
        <x:v>12000</x:v>
      </x:c>
      <x:c r="P53" s="22" t="n">
        <x:f>E53*9.5</x:f>
        <x:v>15200</x:v>
      </x:c>
      <x:c r="Q53" s="18" t="str">
        <x:v>Плотные долины и города</x:v>
      </x:c>
      <x:c r="R53" s="18" t="str">
        <x:v>Проектный профиль v1</x:v>
      </x:c>
      <x:c r="S53" s="18" t="str">
        <x:v>Экспертная классификация проекта</x:v>
      </x:c>
    </x:row>
    <x:row r="54">
      <x:c r="A54" s="18" t="str">
        <x:v>Австрийские земли</x:v>
      </x:c>
      <x:c r="B54" s="18" t="str">
        <x:v>Центральная Европа</x:v>
      </x:c>
      <x:c r="C54" s="18" t="str">
        <x:v>Европа</x:v>
      </x:c>
      <x:c r="D54" s="18" t="str">
        <x:v>P3</x:v>
      </x:c>
      <x:c r="E54" s="22" t="n">
        <x:v>1800</x:v>
      </x:c>
      <x:c r="F54" s="22" t="n">
        <x:v>1</x:v>
      </x:c>
      <x:c r="G54" s="22" t="n">
        <x:v>12</x:v>
      </x:c>
      <x:c r="H54" s="22" t="n">
        <x:v>1.3</x:v>
      </x:c>
      <x:c r="I54" s="22" t="n">
        <x:v>1.25</x:v>
      </x:c>
      <x:c r="J54" s="22" t="n">
        <x:f>E54*1.5</x:f>
        <x:v>2700</x:v>
      </x:c>
      <x:c r="K54" s="22" t="n">
        <x:f>E54*2.5</x:f>
        <x:v>4500</x:v>
      </x:c>
      <x:c r="L54" s="22" t="n">
        <x:f>E54*3.5</x:f>
        <x:v>6300</x:v>
      </x:c>
      <x:c r="M54" s="22" t="n">
        <x:f>E54*4.5</x:f>
        <x:v>8100</x:v>
      </x:c>
      <x:c r="N54" s="22" t="n">
        <x:f>E54*5.5</x:f>
        <x:v>9900</x:v>
      </x:c>
      <x:c r="O54" s="22" t="n">
        <x:f>E54*7.5</x:f>
        <x:v>13500</x:v>
      </x:c>
      <x:c r="P54" s="22" t="n">
        <x:f>E54*9.5</x:f>
        <x:v>17100</x:v>
      </x:c>
      <x:c r="Q54" s="18" t="str">
        <x:v>Альпийские долины и Дунай</x:v>
      </x:c>
      <x:c r="R54" s="18" t="str">
        <x:v>Проектный профиль v1</x:v>
      </x:c>
      <x:c r="S54" s="18" t="str">
        <x:v>Экспертная классификация проекта</x:v>
      </x:c>
    </x:row>
    <x:row r="55">
      <x:c r="A55" s="18" t="str">
        <x:v>Швейцария</x:v>
      </x:c>
      <x:c r="B55" s="18" t="str">
        <x:v>Центральная Европа</x:v>
      </x:c>
      <x:c r="C55" s="18" t="str">
        <x:v>Европа</x:v>
      </x:c>
      <x:c r="D55" s="18" t="str">
        <x:v>P2</x:v>
      </x:c>
      <x:c r="E55" s="22" t="n">
        <x:v>1400</x:v>
      </x:c>
      <x:c r="F55" s="22" t="n">
        <x:v>1</x:v>
      </x:c>
      <x:c r="G55" s="22" t="n">
        <x:v>12</x:v>
      </x:c>
      <x:c r="H55" s="22" t="n">
        <x:v>1.35</x:v>
      </x:c>
      <x:c r="I55" s="22" t="n">
        <x:v>1.35</x:v>
      </x:c>
      <x:c r="J55" s="22" t="n">
        <x:f>E55*1.5</x:f>
        <x:v>2100</x:v>
      </x:c>
      <x:c r="K55" s="22" t="n">
        <x:f>E55*2.5</x:f>
        <x:v>3500</x:v>
      </x:c>
      <x:c r="L55" s="22" t="n">
        <x:f>E55*3.5</x:f>
        <x:v>4900</x:v>
      </x:c>
      <x:c r="M55" s="22" t="n">
        <x:f>E55*4.5</x:f>
        <x:v>6300</x:v>
      </x:c>
      <x:c r="N55" s="22" t="n">
        <x:f>E55*5.5</x:f>
        <x:v>7700</x:v>
      </x:c>
      <x:c r="O55" s="22" t="n">
        <x:f>E55*7.5</x:f>
        <x:v>10500</x:v>
      </x:c>
      <x:c r="P55" s="22" t="n">
        <x:f>E55*9.5</x:f>
        <x:v>13300</x:v>
      </x:c>
      <x:c r="Q55" s="18" t="str">
        <x:v>Горы, перевалы, долины и города</x:v>
      </x:c>
      <x:c r="R55" s="18" t="str">
        <x:v>Проектный профиль v1</x:v>
      </x:c>
      <x:c r="S55" s="18" t="str">
        <x:v>Экспертная классификация проекта</x:v>
      </x:c>
    </x:row>
    <x:row r="56">
      <x:c r="A56" s="18" t="str">
        <x:v>Венгерская низменность</x:v>
      </x:c>
      <x:c r="B56" s="18" t="str">
        <x:v>Центральная Европа</x:v>
      </x:c>
      <x:c r="C56" s="18" t="str">
        <x:v>Европа</x:v>
      </x:c>
      <x:c r="D56" s="18" t="str">
        <x:v>P3</x:v>
      </x:c>
      <x:c r="E56" s="22" t="n">
        <x:v>2400</x:v>
      </x:c>
      <x:c r="F56" s="22" t="n">
        <x:v>1</x:v>
      </x:c>
      <x:c r="G56" s="22" t="n">
        <x:v>14</x:v>
      </x:c>
      <x:c r="H56" s="22" t="n">
        <x:v>1.15</x:v>
      </x:c>
      <x:c r="I56" s="22" t="n">
        <x:v>1</x:v>
      </x:c>
      <x:c r="J56" s="22" t="n">
        <x:f>E56*1.5</x:f>
        <x:v>3600</x:v>
      </x:c>
      <x:c r="K56" s="22" t="n">
        <x:f>E56*2.5</x:f>
        <x:v>6000</x:v>
      </x:c>
      <x:c r="L56" s="22" t="n">
        <x:f>E56*3.5</x:f>
        <x:v>8400</x:v>
      </x:c>
      <x:c r="M56" s="22" t="n">
        <x:f>E56*4.5</x:f>
        <x:v>10800</x:v>
      </x:c>
      <x:c r="N56" s="22" t="n">
        <x:f>E56*5.5</x:f>
        <x:v>13200</x:v>
      </x:c>
      <x:c r="O56" s="22" t="n">
        <x:f>E56*7.5</x:f>
        <x:v>18000</x:v>
      </x:c>
      <x:c r="P56" s="22" t="n">
        <x:f>E56*9.5</x:f>
        <x:v>22800</x:v>
      </x:c>
      <x:c r="Q56" s="18" t="str">
        <x:v>Дунайская равнина и исторические города</x:v>
      </x:c>
      <x:c r="R56" s="18" t="str">
        <x:v>Проектный профиль v1</x:v>
      </x:c>
      <x:c r="S56" s="18" t="str">
        <x:v>Экспертная классификация проекта</x:v>
      </x:c>
    </x:row>
    <x:row r="57">
      <x:c r="A57" s="18" t="str">
        <x:v>Трансильвания</x:v>
      </x:c>
      <x:c r="B57" s="18" t="str">
        <x:v>Центральная Европа</x:v>
      </x:c>
      <x:c r="C57" s="18" t="str">
        <x:v>Европа</x:v>
      </x:c>
      <x:c r="D57" s="18" t="str">
        <x:v>P4</x:v>
      </x:c>
      <x:c r="E57" s="22" t="n">
        <x:v>3000</x:v>
      </x:c>
      <x:c r="F57" s="22" t="n">
        <x:v>1</x:v>
      </x:c>
      <x:c r="G57" s="22" t="n">
        <x:v>14</x:v>
      </x:c>
      <x:c r="H57" s="22" t="n">
        <x:v>0.9</x:v>
      </x:c>
      <x:c r="I57" s="22" t="n">
        <x:v>1.25</x:v>
      </x:c>
      <x:c r="J57" s="22" t="n">
        <x:f>E57*1.5</x:f>
        <x:v>4500</x:v>
      </x:c>
      <x:c r="K57" s="22" t="n">
        <x:f>E57*2.5</x:f>
        <x:v>7500</x:v>
      </x:c>
      <x:c r="L57" s="22" t="n">
        <x:f>E57*3.5</x:f>
        <x:v>10500</x:v>
      </x:c>
      <x:c r="M57" s="22" t="n">
        <x:f>E57*4.5</x:f>
        <x:v>13500</x:v>
      </x:c>
      <x:c r="N57" s="22" t="n">
        <x:f>E57*5.5</x:f>
        <x:v>16500</x:v>
      </x:c>
      <x:c r="O57" s="22" t="n">
        <x:f>E57*7.5</x:f>
        <x:v>22500</x:v>
      </x:c>
      <x:c r="P57" s="22" t="n">
        <x:f>E57*9.5</x:f>
        <x:v>28500</x:v>
      </x:c>
      <x:c r="Q57" s="18" t="str">
        <x:v>Горная рамка и котловины</x:v>
      </x:c>
      <x:c r="R57" s="18" t="str">
        <x:v>Проектный профиль v1</x:v>
      </x:c>
      <x:c r="S57" s="18" t="str">
        <x:v>Экспертная классификация проекта</x:v>
      </x:c>
    </x:row>
    <x:row r="58">
      <x:c r="A58" s="18" t="str">
        <x:v>Дания</x:v>
      </x:c>
      <x:c r="B58" s="18" t="str">
        <x:v>Скандинавия</x:v>
      </x:c>
      <x:c r="C58" s="18" t="str">
        <x:v>Европа</x:v>
      </x:c>
      <x:c r="D58" s="18" t="str">
        <x:v>P2</x:v>
      </x:c>
      <x:c r="E58" s="22" t="n">
        <x:v>1100</x:v>
      </x:c>
      <x:c r="F58" s="22" t="n">
        <x:v>1</x:v>
      </x:c>
      <x:c r="G58" s="22" t="n">
        <x:v>10</x:v>
      </x:c>
      <x:c r="H58" s="22" t="n">
        <x:v>1.45</x:v>
      </x:c>
      <x:c r="I58" s="22" t="n">
        <x:v>1.25</x:v>
      </x:c>
      <x:c r="J58" s="22" t="n">
        <x:f>E58*1.5</x:f>
        <x:v>1650</x:v>
      </x:c>
      <x:c r="K58" s="22" t="n">
        <x:f>E58*2.5</x:f>
        <x:v>2750</x:v>
      </x:c>
      <x:c r="L58" s="22" t="n">
        <x:f>E58*3.5</x:f>
        <x:v>3850</x:v>
      </x:c>
      <x:c r="M58" s="22" t="n">
        <x:f>E58*4.5</x:f>
        <x:v>4950</x:v>
      </x:c>
      <x:c r="N58" s="22" t="n">
        <x:f>E58*5.5</x:f>
        <x:v>6050</x:v>
      </x:c>
      <x:c r="O58" s="22" t="n">
        <x:f>E58*7.5</x:f>
        <x:v>8250</x:v>
      </x:c>
      <x:c r="P58" s="22" t="n">
        <x:f>E58*9.5</x:f>
        <x:v>10450</x:v>
      </x:c>
      <x:c r="Q58" s="18" t="str">
        <x:v>Острова, проливы и плотное расселение</x:v>
      </x:c>
      <x:c r="R58" s="18" t="str">
        <x:v>Проектный профиль v1</x:v>
      </x:c>
      <x:c r="S58" s="18" t="str">
        <x:v>Экспертная классификация проекта</x:v>
      </x:c>
    </x:row>
    <x:row r="59">
      <x:c r="A59" s="18" t="str">
        <x:v>Южная Швеция</x:v>
      </x:c>
      <x:c r="B59" s="18" t="str">
        <x:v>Скандинавия</x:v>
      </x:c>
      <x:c r="C59" s="18" t="str">
        <x:v>Европа</x:v>
      </x:c>
      <x:c r="D59" s="18" t="str">
        <x:v>P3</x:v>
      </x:c>
      <x:c r="E59" s="22" t="n">
        <x:v>2600</x:v>
      </x:c>
      <x:c r="F59" s="22" t="n">
        <x:v>1</x:v>
      </x:c>
      <x:c r="G59" s="22" t="n">
        <x:v>12</x:v>
      </x:c>
      <x:c r="H59" s="22" t="n">
        <x:v>1</x:v>
      </x:c>
      <x:c r="I59" s="22" t="n">
        <x:v>1.1</x:v>
      </x:c>
      <x:c r="J59" s="22" t="n">
        <x:f>E59*1.5</x:f>
        <x:v>3900</x:v>
      </x:c>
      <x:c r="K59" s="22" t="n">
        <x:f>E59*2.5</x:f>
        <x:v>6500</x:v>
      </x:c>
      <x:c r="L59" s="22" t="n">
        <x:f>E59*3.5</x:f>
        <x:v>9100</x:v>
      </x:c>
      <x:c r="M59" s="22" t="n">
        <x:f>E59*4.5</x:f>
        <x:v>11700</x:v>
      </x:c>
      <x:c r="N59" s="22" t="n">
        <x:f>E59*5.5</x:f>
        <x:v>14300</x:v>
      </x:c>
      <x:c r="O59" s="22" t="n">
        <x:f>E59*7.5</x:f>
        <x:v>19500</x:v>
      </x:c>
      <x:c r="P59" s="22" t="n">
        <x:f>E59*9.5</x:f>
        <x:v>24700</x:v>
      </x:c>
      <x:c r="Q59" s="18" t="str">
        <x:v>Аграрное и городское ядро</x:v>
      </x:c>
      <x:c r="R59" s="18" t="str">
        <x:v>Проектный профиль v1</x:v>
      </x:c>
      <x:c r="S59" s="18" t="str">
        <x:v>Экспертная классификация проекта</x:v>
      </x:c>
    </x:row>
    <x:row r="60">
      <x:c r="A60" s="18" t="str">
        <x:v>Центральная Швеция</x:v>
      </x:c>
      <x:c r="B60" s="18" t="str">
        <x:v>Скандинавия</x:v>
      </x:c>
      <x:c r="C60" s="18" t="str">
        <x:v>Европа</x:v>
      </x:c>
      <x:c r="D60" s="18" t="str">
        <x:v>P5</x:v>
      </x:c>
      <x:c r="E60" s="22" t="n">
        <x:v>7000</x:v>
      </x:c>
      <x:c r="F60" s="22" t="n">
        <x:v>1</x:v>
      </x:c>
      <x:c r="G60" s="22" t="n">
        <x:v>12</x:v>
      </x:c>
      <x:c r="H60" s="22" t="n">
        <x:v>0.55</x:v>
      </x:c>
      <x:c r="I60" s="22" t="n">
        <x:v>1.1</x:v>
      </x:c>
      <x:c r="J60" s="22" t="n">
        <x:f>E60*1.5</x:f>
        <x:v>10500</x:v>
      </x:c>
      <x:c r="K60" s="22" t="n">
        <x:f>E60*2.5</x:f>
        <x:v>17500</x:v>
      </x:c>
      <x:c r="L60" s="22" t="n">
        <x:f>E60*3.5</x:f>
        <x:v>24500</x:v>
      </x:c>
      <x:c r="M60" s="22" t="n">
        <x:f>E60*4.5</x:f>
        <x:v>31500</x:v>
      </x:c>
      <x:c r="N60" s="22" t="n">
        <x:f>E60*5.5</x:f>
        <x:v>38500</x:v>
      </x:c>
      <x:c r="O60" s="22" t="n">
        <x:f>E60*7.5</x:f>
        <x:v>52500</x:v>
      </x:c>
      <x:c r="P60" s="22" t="n">
        <x:f>E60*9.5</x:f>
        <x:v>66500</x:v>
      </x:c>
      <x:c r="Q60" s="18" t="str">
        <x:v>Леса, озёра и длинные расстояния</x:v>
      </x:c>
      <x:c r="R60" s="18" t="str">
        <x:v>Проектный профиль v1</x:v>
      </x:c>
      <x:c r="S60" s="18" t="str">
        <x:v>Экспертная классификация проекта</x:v>
      </x:c>
    </x:row>
    <x:row r="61">
      <x:c r="A61" s="18" t="str">
        <x:v>Северная Скандинавия</x:v>
      </x:c>
      <x:c r="B61" s="18" t="str">
        <x:v>Скандинавия</x:v>
      </x:c>
      <x:c r="C61" s="18" t="str">
        <x:v>Европа</x:v>
      </x:c>
      <x:c r="D61" s="18" t="str">
        <x:v>P6</x:v>
      </x:c>
      <x:c r="E61" s="22" t="n">
        <x:v>16000</x:v>
      </x:c>
      <x:c r="F61" s="22" t="n">
        <x:v>1</x:v>
      </x:c>
      <x:c r="G61" s="22" t="n">
        <x:v>12</x:v>
      </x:c>
      <x:c r="H61" s="22" t="n">
        <x:v>0.25</x:v>
      </x:c>
      <x:c r="I61" s="22" t="n">
        <x:v>1.2</x:v>
      </x:c>
      <x:c r="J61" s="22" t="n">
        <x:f>E61*1.5</x:f>
        <x:v>24000</x:v>
      </x:c>
      <x:c r="K61" s="22" t="n">
        <x:f>E61*2.5</x:f>
        <x:v>40000</x:v>
      </x:c>
      <x:c r="L61" s="22" t="n">
        <x:f>E61*3.5</x:f>
        <x:v>56000</x:v>
      </x:c>
      <x:c r="M61" s="22" t="n">
        <x:f>E61*4.5</x:f>
        <x:v>72000</x:v>
      </x:c>
      <x:c r="N61" s="22" t="n">
        <x:f>E61*5.5</x:f>
        <x:v>88000</x:v>
      </x:c>
      <x:c r="O61" s="22" t="n">
        <x:f>E61*7.5</x:f>
        <x:v>120000</x:v>
      </x:c>
      <x:c r="P61" s="22" t="n">
        <x:f>E61*9.5</x:f>
        <x:v>152000</x:v>
      </x:c>
      <x:c r="Q61" s="18" t="str">
        <x:v>Редкое население, горы и тундра</x:v>
      </x:c>
      <x:c r="R61" s="18" t="str">
        <x:v>Проектный профиль v1</x:v>
      </x:c>
      <x:c r="S61" s="18" t="str">
        <x:v>Экспертная классификация проекта</x:v>
      </x:c>
    </x:row>
    <x:row r="62">
      <x:c r="A62" s="18" t="str">
        <x:v>Южная Норвегия</x:v>
      </x:c>
      <x:c r="B62" s="18" t="str">
        <x:v>Скандинавия</x:v>
      </x:c>
      <x:c r="C62" s="18" t="str">
        <x:v>Европа</x:v>
      </x:c>
      <x:c r="D62" s="18" t="str">
        <x:v>P4</x:v>
      </x:c>
      <x:c r="E62" s="22" t="n">
        <x:v>4500</x:v>
      </x:c>
      <x:c r="F62" s="22" t="n">
        <x:v>1</x:v>
      </x:c>
      <x:c r="G62" s="22" t="n">
        <x:v>12</x:v>
      </x:c>
      <x:c r="H62" s="22" t="n">
        <x:v>0.75</x:v>
      </x:c>
      <x:c r="I62" s="22" t="n">
        <x:v>1.35</x:v>
      </x:c>
      <x:c r="J62" s="22" t="n">
        <x:f>E62*1.5</x:f>
        <x:v>6750</x:v>
      </x:c>
      <x:c r="K62" s="22" t="n">
        <x:f>E62*2.5</x:f>
        <x:v>11250</x:v>
      </x:c>
      <x:c r="L62" s="22" t="n">
        <x:f>E62*3.5</x:f>
        <x:v>15750</x:v>
      </x:c>
      <x:c r="M62" s="22" t="n">
        <x:f>E62*4.5</x:f>
        <x:v>20250</x:v>
      </x:c>
      <x:c r="N62" s="22" t="n">
        <x:f>E62*5.5</x:f>
        <x:v>24750</x:v>
      </x:c>
      <x:c r="O62" s="22" t="n">
        <x:f>E62*7.5</x:f>
        <x:v>33750</x:v>
      </x:c>
      <x:c r="P62" s="22" t="n">
        <x:f>E62*9.5</x:f>
        <x:v>42750</x:v>
      </x:c>
      <x:c r="Q62" s="18" t="str">
        <x:v>Фьорды и горные долины</x:v>
      </x:c>
      <x:c r="R62" s="18" t="str">
        <x:v>Проектный профиль v1</x:v>
      </x:c>
      <x:c r="S62" s="18" t="str">
        <x:v>Экспертная классификация проекта</x:v>
      </x:c>
    </x:row>
    <x:row r="63">
      <x:c r="A63" s="18" t="str">
        <x:v>Северная Норвегия</x:v>
      </x:c>
      <x:c r="B63" s="18" t="str">
        <x:v>Скандинавия</x:v>
      </x:c>
      <x:c r="C63" s="18" t="str">
        <x:v>Европа</x:v>
      </x:c>
      <x:c r="D63" s="18" t="str">
        <x:v>P6</x:v>
      </x:c>
      <x:c r="E63" s="22" t="n">
        <x:v>14000</x:v>
      </x:c>
      <x:c r="F63" s="22" t="n">
        <x:v>1</x:v>
      </x:c>
      <x:c r="G63" s="22" t="n">
        <x:v>10</x:v>
      </x:c>
      <x:c r="H63" s="22" t="n">
        <x:v>0.3</x:v>
      </x:c>
      <x:c r="I63" s="22" t="n">
        <x:v>1.35</x:v>
      </x:c>
      <x:c r="J63" s="22" t="n">
        <x:f>E63*1.5</x:f>
        <x:v>21000</x:v>
      </x:c>
      <x:c r="K63" s="22" t="n">
        <x:f>E63*2.5</x:f>
        <x:v>35000</x:v>
      </x:c>
      <x:c r="L63" s="22" t="n">
        <x:f>E63*3.5</x:f>
        <x:v>49000</x:v>
      </x:c>
      <x:c r="M63" s="22" t="n">
        <x:f>E63*4.5</x:f>
        <x:v>63000</x:v>
      </x:c>
      <x:c r="N63" s="22" t="n">
        <x:f>E63*5.5</x:f>
        <x:v>77000</x:v>
      </x:c>
      <x:c r="O63" s="22" t="n">
        <x:f>E63*7.5</x:f>
        <x:v>105000</x:v>
      </x:c>
      <x:c r="P63" s="22" t="n">
        <x:f>E63*9.5</x:f>
        <x:v>133000</x:v>
      </x:c>
      <x:c r="Q63" s="18" t="str">
        <x:v>Фьорды, острова и редкое население</x:v>
      </x:c>
      <x:c r="R63" s="18" t="str">
        <x:v>Проектный профиль v1</x:v>
      </x:c>
      <x:c r="S63" s="18" t="str">
        <x:v>Экспертная классификация проекта</x:v>
      </x:c>
    </x:row>
    <x:row r="64">
      <x:c r="A64" s="18" t="str">
        <x:v>Южная Финляндия</x:v>
      </x:c>
      <x:c r="B64" s="18" t="str">
        <x:v>Скандинавия</x:v>
      </x:c>
      <x:c r="C64" s="18" t="str">
        <x:v>Европа</x:v>
      </x:c>
      <x:c r="D64" s="18" t="str">
        <x:v>P4</x:v>
      </x:c>
      <x:c r="E64" s="22" t="n">
        <x:v>4500</x:v>
      </x:c>
      <x:c r="F64" s="22" t="n">
        <x:v>1</x:v>
      </x:c>
      <x:c r="G64" s="22" t="n">
        <x:v>12</x:v>
      </x:c>
      <x:c r="H64" s="22" t="n">
        <x:v>0.75</x:v>
      </x:c>
      <x:c r="I64" s="22" t="n">
        <x:v>1.15</x:v>
      </x:c>
      <x:c r="J64" s="22" t="n">
        <x:f>E64*1.5</x:f>
        <x:v>6750</x:v>
      </x:c>
      <x:c r="K64" s="22" t="n">
        <x:f>E64*2.5</x:f>
        <x:v>11250</x:v>
      </x:c>
      <x:c r="L64" s="22" t="n">
        <x:f>E64*3.5</x:f>
        <x:v>15750</x:v>
      </x:c>
      <x:c r="M64" s="22" t="n">
        <x:f>E64*4.5</x:f>
        <x:v>20250</x:v>
      </x:c>
      <x:c r="N64" s="22" t="n">
        <x:f>E64*5.5</x:f>
        <x:v>24750</x:v>
      </x:c>
      <x:c r="O64" s="22" t="n">
        <x:f>E64*7.5</x:f>
        <x:v>33750</x:v>
      </x:c>
      <x:c r="P64" s="22" t="n">
        <x:f>E64*9.5</x:f>
        <x:v>42750</x:v>
      </x:c>
      <x:c r="Q64" s="18" t="str">
        <x:v>Озёра и леса</x:v>
      </x:c>
      <x:c r="R64" s="18" t="str">
        <x:v>Проектный профиль v1</x:v>
      </x:c>
      <x:c r="S64" s="18" t="str">
        <x:v>Экспертная классификация проекта</x:v>
      </x:c>
    </x:row>
    <x:row r="65">
      <x:c r="A65" s="18" t="str">
        <x:v>Северная Финляндия</x:v>
      </x:c>
      <x:c r="B65" s="18" t="str">
        <x:v>Скандинавия</x:v>
      </x:c>
      <x:c r="C65" s="18" t="str">
        <x:v>Европа</x:v>
      </x:c>
      <x:c r="D65" s="18" t="str">
        <x:v>P6</x:v>
      </x:c>
      <x:c r="E65" s="22" t="n">
        <x:v>20000</x:v>
      </x:c>
      <x:c r="F65" s="22" t="n">
        <x:v>1</x:v>
      </x:c>
      <x:c r="G65" s="22" t="n">
        <x:v>10</x:v>
      </x:c>
      <x:c r="H65" s="22" t="n">
        <x:v>0.2</x:v>
      </x:c>
      <x:c r="I65" s="22" t="n">
        <x:v>1.15</x:v>
      </x:c>
      <x:c r="J65" s="22" t="n">
        <x:f>E65*1.5</x:f>
        <x:v>30000</x:v>
      </x:c>
      <x:c r="K65" s="22" t="n">
        <x:f>E65*2.5</x:f>
        <x:v>50000</x:v>
      </x:c>
      <x:c r="L65" s="22" t="n">
        <x:f>E65*3.5</x:f>
        <x:v>70000</x:v>
      </x:c>
      <x:c r="M65" s="22" t="n">
        <x:f>E65*4.5</x:f>
        <x:v>90000</x:v>
      </x:c>
      <x:c r="N65" s="22" t="n">
        <x:f>E65*5.5</x:f>
        <x:v>110000</x:v>
      </x:c>
      <x:c r="O65" s="22" t="n">
        <x:f>E65*7.5</x:f>
        <x:v>150000</x:v>
      </x:c>
      <x:c r="P65" s="22" t="n">
        <x:f>E65*9.5</x:f>
        <x:v>190000</x:v>
      </x:c>
      <x:c r="Q65" s="18" t="str">
        <x:v>Лесо-тундровая окраина</x:v>
      </x:c>
      <x:c r="R65" s="18" t="str">
        <x:v>Проектный профиль v1</x:v>
      </x:c>
      <x:c r="S65" s="18" t="str">
        <x:v>Экспертная классификация проекта</x:v>
      </x:c>
    </x:row>
    <x:row r="66">
      <x:c r="A66" s="18" t="str">
        <x:v>Западная Польша</x:v>
      </x:c>
      <x:c r="B66" s="18" t="str">
        <x:v>Восточная Европа</x:v>
      </x:c>
      <x:c r="C66" s="18" t="str">
        <x:v>Европа</x:v>
      </x:c>
      <x:c r="D66" s="18" t="str">
        <x:v>P3</x:v>
      </x:c>
      <x:c r="E66" s="22" t="n">
        <x:v>2200</x:v>
      </x:c>
      <x:c r="F66" s="22" t="n">
        <x:v>1</x:v>
      </x:c>
      <x:c r="G66" s="22" t="n">
        <x:v>14</x:v>
      </x:c>
      <x:c r="H66" s="22" t="n">
        <x:v>1.2</x:v>
      </x:c>
      <x:c r="I66" s="22" t="n">
        <x:v>1.05</x:v>
      </x:c>
      <x:c r="J66" s="22" t="n">
        <x:f>E66*1.5</x:f>
        <x:v>3300</x:v>
      </x:c>
      <x:c r="K66" s="22" t="n">
        <x:f>E66*2.5</x:f>
        <x:v>5500</x:v>
      </x:c>
      <x:c r="L66" s="22" t="n">
        <x:f>E66*3.5</x:f>
        <x:v>7700</x:v>
      </x:c>
      <x:c r="M66" s="22" t="n">
        <x:f>E66*4.5</x:f>
        <x:v>9900</x:v>
      </x:c>
      <x:c r="N66" s="22" t="n">
        <x:f>E66*5.5</x:f>
        <x:v>12100</x:v>
      </x:c>
      <x:c r="O66" s="22" t="n">
        <x:f>E66*7.5</x:f>
        <x:v>16500</x:v>
      </x:c>
      <x:c r="P66" s="22" t="n">
        <x:f>E66*9.5</x:f>
        <x:v>20900</x:v>
      </x:c>
      <x:c r="Q66" s="18" t="str">
        <x:v>Плотная аграрная сеть</x:v>
      </x:c>
      <x:c r="R66" s="18" t="str">
        <x:v>Проектный профиль v1</x:v>
      </x:c>
      <x:c r="S66" s="18" t="str">
        <x:v>Экспертная классификация проекта</x:v>
      </x:c>
    </x:row>
    <x:row r="67">
      <x:c r="A67" s="18" t="str">
        <x:v>Малая Польша</x:v>
      </x:c>
      <x:c r="B67" s="18" t="str">
        <x:v>Восточная Европа</x:v>
      </x:c>
      <x:c r="C67" s="18" t="str">
        <x:v>Европа</x:v>
      </x:c>
      <x:c r="D67" s="18" t="str">
        <x:v>P3</x:v>
      </x:c>
      <x:c r="E67" s="22" t="n">
        <x:v>1800</x:v>
      </x:c>
      <x:c r="F67" s="22" t="n">
        <x:v>1</x:v>
      </x:c>
      <x:c r="G67" s="22" t="n">
        <x:v>14</x:v>
      </x:c>
      <x:c r="H67" s="22" t="n">
        <x:v>1.35</x:v>
      </x:c>
      <x:c r="I67" s="22" t="n">
        <x:v>1.15</x:v>
      </x:c>
      <x:c r="J67" s="22" t="n">
        <x:f>E67*1.5</x:f>
        <x:v>2700</x:v>
      </x:c>
      <x:c r="K67" s="22" t="n">
        <x:f>E67*2.5</x:f>
        <x:v>4500</x:v>
      </x:c>
      <x:c r="L67" s="22" t="n">
        <x:f>E67*3.5</x:f>
        <x:v>6300</x:v>
      </x:c>
      <x:c r="M67" s="22" t="n">
        <x:f>E67*4.5</x:f>
        <x:v>8100</x:v>
      </x:c>
      <x:c r="N67" s="22" t="n">
        <x:f>E67*5.5</x:f>
        <x:v>9900</x:v>
      </x:c>
      <x:c r="O67" s="22" t="n">
        <x:f>E67*7.5</x:f>
        <x:v>13500</x:v>
      </x:c>
      <x:c r="P67" s="22" t="n">
        <x:f>E67*9.5</x:f>
        <x:v>17100</x:v>
      </x:c>
      <x:c r="Q67" s="18" t="str">
        <x:v>Города, Карпаты и долины</x:v>
      </x:c>
      <x:c r="R67" s="18" t="str">
        <x:v>Проектный профиль v1</x:v>
      </x:c>
      <x:c r="S67" s="18" t="str">
        <x:v>Экспертная классификация проекта</x:v>
      </x:c>
    </x:row>
    <x:row r="68">
      <x:c r="A68" s="18" t="str">
        <x:v>Мазовия и Подляшье</x:v>
      </x:c>
      <x:c r="B68" s="18" t="str">
        <x:v>Восточная Европа</x:v>
      </x:c>
      <x:c r="C68" s="18" t="str">
        <x:v>Европа</x:v>
      </x:c>
      <x:c r="D68" s="18" t="str">
        <x:v>P4</x:v>
      </x:c>
      <x:c r="E68" s="22" t="n">
        <x:v>3000</x:v>
      </x:c>
      <x:c r="F68" s="22" t="n">
        <x:v>1</x:v>
      </x:c>
      <x:c r="G68" s="22" t="n">
        <x:v>14</x:v>
      </x:c>
      <x:c r="H68" s="22" t="n">
        <x:v>1</x:v>
      </x:c>
      <x:c r="I68" s="22" t="n">
        <x:v>1.05</x:v>
      </x:c>
      <x:c r="J68" s="22" t="n">
        <x:f>E68*1.5</x:f>
        <x:v>4500</x:v>
      </x:c>
      <x:c r="K68" s="22" t="n">
        <x:f>E68*2.5</x:f>
        <x:v>7500</x:v>
      </x:c>
      <x:c r="L68" s="22" t="n">
        <x:f>E68*3.5</x:f>
        <x:v>10500</x:v>
      </x:c>
      <x:c r="M68" s="22" t="n">
        <x:f>E68*4.5</x:f>
        <x:v>13500</x:v>
      </x:c>
      <x:c r="N68" s="22" t="n">
        <x:f>E68*5.5</x:f>
        <x:v>16500</x:v>
      </x:c>
      <x:c r="O68" s="22" t="n">
        <x:f>E68*7.5</x:f>
        <x:v>22500</x:v>
      </x:c>
      <x:c r="P68" s="22" t="n">
        <x:f>E68*9.5</x:f>
        <x:v>28500</x:v>
      </x:c>
      <x:c r="Q68" s="18" t="str">
        <x:v>Широкие равнины и леса</x:v>
      </x:c>
      <x:c r="R68" s="18" t="str">
        <x:v>Проектный профиль v1</x:v>
      </x:c>
      <x:c r="S68" s="18" t="str">
        <x:v>Экспертная классификация проекта</x:v>
      </x:c>
    </x:row>
    <x:row r="69">
      <x:c r="A69" s="18" t="str">
        <x:v>Литва</x:v>
      </x:c>
      <x:c r="B69" s="18" t="str">
        <x:v>Восточная Европа</x:v>
      </x:c>
      <x:c r="C69" s="18" t="str">
        <x:v>Европа</x:v>
      </x:c>
      <x:c r="D69" s="18" t="str">
        <x:v>P4</x:v>
      </x:c>
      <x:c r="E69" s="22" t="n">
        <x:v>3600</x:v>
      </x:c>
      <x:c r="F69" s="22" t="n">
        <x:v>1</x:v>
      </x:c>
      <x:c r="G69" s="22" t="n">
        <x:v>12</x:v>
      </x:c>
      <x:c r="H69" s="22" t="n">
        <x:v>0.8</x:v>
      </x:c>
      <x:c r="I69" s="22" t="n">
        <x:v>1.1</x:v>
      </x:c>
      <x:c r="J69" s="22" t="n">
        <x:f>E69*1.5</x:f>
        <x:v>5400</x:v>
      </x:c>
      <x:c r="K69" s="22" t="n">
        <x:f>E69*2.5</x:f>
        <x:v>9000</x:v>
      </x:c>
      <x:c r="L69" s="22" t="n">
        <x:f>E69*3.5</x:f>
        <x:v>12600</x:v>
      </x:c>
      <x:c r="M69" s="22" t="n">
        <x:f>E69*4.5</x:f>
        <x:v>16200</x:v>
      </x:c>
      <x:c r="N69" s="22" t="n">
        <x:f>E69*5.5</x:f>
        <x:v>19800</x:v>
      </x:c>
      <x:c r="O69" s="22" t="n">
        <x:f>E69*7.5</x:f>
        <x:v>27000</x:v>
      </x:c>
      <x:c r="P69" s="22" t="n">
        <x:f>E69*9.5</x:f>
        <x:v>34200</x:v>
      </x:c>
      <x:c r="Q69" s="18" t="str">
        <x:v>Леса, озёра и редкие центры</x:v>
      </x:c>
      <x:c r="R69" s="18" t="str">
        <x:v>Проектный профиль v1</x:v>
      </x:c>
      <x:c r="S69" s="18" t="str">
        <x:v>Экспертная классификация проекта</x:v>
      </x:c>
    </x:row>
    <x:row r="70">
      <x:c r="A70" s="18" t="str">
        <x:v>Ливония и Эстония</x:v>
      </x:c>
      <x:c r="B70" s="18" t="str">
        <x:v>Восточная Европа</x:v>
      </x:c>
      <x:c r="C70" s="18" t="str">
        <x:v>Европа</x:v>
      </x:c>
      <x:c r="D70" s="18" t="str">
        <x:v>P4</x:v>
      </x:c>
      <x:c r="E70" s="22" t="n">
        <x:v>3300</x:v>
      </x:c>
      <x:c r="F70" s="22" t="n">
        <x:v>1</x:v>
      </x:c>
      <x:c r="G70" s="22" t="n">
        <x:v>12</x:v>
      </x:c>
      <x:c r="H70" s="22" t="n">
        <x:v>0.85</x:v>
      </x:c>
      <x:c r="I70" s="22" t="n">
        <x:v>1.15</x:v>
      </x:c>
      <x:c r="J70" s="22" t="n">
        <x:f>E70*1.5</x:f>
        <x:v>4950</x:v>
      </x:c>
      <x:c r="K70" s="22" t="n">
        <x:f>E70*2.5</x:f>
        <x:v>8250</x:v>
      </x:c>
      <x:c r="L70" s="22" t="n">
        <x:f>E70*3.5</x:f>
        <x:v>11550</x:v>
      </x:c>
      <x:c r="M70" s="22" t="n">
        <x:f>E70*4.5</x:f>
        <x:v>14850</x:v>
      </x:c>
      <x:c r="N70" s="22" t="n">
        <x:f>E70*5.5</x:f>
        <x:v>18150</x:v>
      </x:c>
      <x:c r="O70" s="22" t="n">
        <x:f>E70*7.5</x:f>
        <x:v>24750</x:v>
      </x:c>
      <x:c r="P70" s="22" t="n">
        <x:f>E70*9.5</x:f>
        <x:v>31350</x:v>
      </x:c>
      <x:c r="Q70" s="18" t="str">
        <x:v>Побережье, острова и леса</x:v>
      </x:c>
      <x:c r="R70" s="18" t="str">
        <x:v>Проектный профиль v1</x:v>
      </x:c>
      <x:c r="S70" s="18" t="str">
        <x:v>Экспертная классификация проекта</x:v>
      </x:c>
    </x:row>
    <x:row r="71">
      <x:c r="A71" s="18" t="str">
        <x:v>Беларусь</x:v>
      </x:c>
      <x:c r="B71" s="18" t="str">
        <x:v>Восточная Европа</x:v>
      </x:c>
      <x:c r="C71" s="18" t="str">
        <x:v>Европа</x:v>
      </x:c>
      <x:c r="D71" s="18" t="str">
        <x:v>P4</x:v>
      </x:c>
      <x:c r="E71" s="22" t="n">
        <x:v>4200</x:v>
      </x:c>
      <x:c r="F71" s="22" t="n">
        <x:v>1</x:v>
      </x:c>
      <x:c r="G71" s="22" t="n">
        <x:v>14</x:v>
      </x:c>
      <x:c r="H71" s="22" t="n">
        <x:v>0.75</x:v>
      </x:c>
      <x:c r="I71" s="22" t="n">
        <x:v>1.05</x:v>
      </x:c>
      <x:c r="J71" s="22" t="n">
        <x:f>E71*1.5</x:f>
        <x:v>6300</x:v>
      </x:c>
      <x:c r="K71" s="22" t="n">
        <x:f>E71*2.5</x:f>
        <x:v>10500</x:v>
      </x:c>
      <x:c r="L71" s="22" t="n">
        <x:f>E71*3.5</x:f>
        <x:v>14700</x:v>
      </x:c>
      <x:c r="M71" s="22" t="n">
        <x:f>E71*4.5</x:f>
        <x:v>18900</x:v>
      </x:c>
      <x:c r="N71" s="22" t="n">
        <x:f>E71*5.5</x:f>
        <x:v>23100</x:v>
      </x:c>
      <x:c r="O71" s="22" t="n">
        <x:f>E71*7.5</x:f>
        <x:v>31500</x:v>
      </x:c>
      <x:c r="P71" s="22" t="n">
        <x:f>E71*9.5</x:f>
        <x:v>39900</x:v>
      </x:c>
      <x:c r="Q71" s="18" t="str">
        <x:v>Лесо-болотные равнины</x:v>
      </x:c>
      <x:c r="R71" s="18" t="str">
        <x:v>Проектный профиль v1</x:v>
      </x:c>
      <x:c r="S71" s="18" t="str">
        <x:v>Экспертная классификация проекта</x:v>
      </x:c>
    </x:row>
    <x:row r="72">
      <x:c r="A72" s="18" t="str">
        <x:v>Правобережная Украина</x:v>
      </x:c>
      <x:c r="B72" s="18" t="str">
        <x:v>Восточная Европа</x:v>
      </x:c>
      <x:c r="C72" s="18" t="str">
        <x:v>Европа</x:v>
      </x:c>
      <x:c r="D72" s="18" t="str">
        <x:v>P4</x:v>
      </x:c>
      <x:c r="E72" s="22" t="n">
        <x:v>3800</x:v>
      </x:c>
      <x:c r="F72" s="22" t="n">
        <x:v>1</x:v>
      </x:c>
      <x:c r="G72" s="22" t="n">
        <x:v>16</x:v>
      </x:c>
      <x:c r="H72" s="22" t="n">
        <x:v>1</x:v>
      </x:c>
      <x:c r="I72" s="22" t="n">
        <x:v>1</x:v>
      </x:c>
      <x:c r="J72" s="22" t="n">
        <x:f>E72*1.5</x:f>
        <x:v>5700</x:v>
      </x:c>
      <x:c r="K72" s="22" t="n">
        <x:f>E72*2.5</x:f>
        <x:v>9500</x:v>
      </x:c>
      <x:c r="L72" s="22" t="n">
        <x:f>E72*3.5</x:f>
        <x:v>13300</x:v>
      </x:c>
      <x:c r="M72" s="22" t="n">
        <x:f>E72*4.5</x:f>
        <x:v>17100</x:v>
      </x:c>
      <x:c r="N72" s="22" t="n">
        <x:f>E72*5.5</x:f>
        <x:v>20900</x:v>
      </x:c>
      <x:c r="O72" s="22" t="n">
        <x:f>E72*7.5</x:f>
        <x:v>28500</x:v>
      </x:c>
      <x:c r="P72" s="22" t="n">
        <x:f>E72*9.5</x:f>
        <x:v>36100</x:v>
      </x:c>
      <x:c r="Q72" s="18" t="str">
        <x:v>Плодородные равнины и города</x:v>
      </x:c>
      <x:c r="R72" s="18" t="str">
        <x:v>Проектный профиль v1</x:v>
      </x:c>
      <x:c r="S72" s="18" t="str">
        <x:v>Экспертная классификация проекта</x:v>
      </x:c>
    </x:row>
    <x:row r="73">
      <x:c r="A73" s="18" t="str">
        <x:v>Левобережная Украина</x:v>
      </x:c>
      <x:c r="B73" s="18" t="str">
        <x:v>Восточная Европа</x:v>
      </x:c>
      <x:c r="C73" s="18" t="str">
        <x:v>Европа</x:v>
      </x:c>
      <x:c r="D73" s="18" t="str">
        <x:v>P4</x:v>
      </x:c>
      <x:c r="E73" s="22" t="n">
        <x:v>4800</x:v>
      </x:c>
      <x:c r="F73" s="22" t="n">
        <x:v>1</x:v>
      </x:c>
      <x:c r="G73" s="22" t="n">
        <x:v>16</x:v>
      </x:c>
      <x:c r="H73" s="22" t="n">
        <x:v>0.9</x:v>
      </x:c>
      <x:c r="I73" s="22" t="n">
        <x:v>1</x:v>
      </x:c>
      <x:c r="J73" s="22" t="n">
        <x:f>E73*1.5</x:f>
        <x:v>7200</x:v>
      </x:c>
      <x:c r="K73" s="22" t="n">
        <x:f>E73*2.5</x:f>
        <x:v>12000</x:v>
      </x:c>
      <x:c r="L73" s="22" t="n">
        <x:f>E73*3.5</x:f>
        <x:v>16800</x:v>
      </x:c>
      <x:c r="M73" s="22" t="n">
        <x:f>E73*4.5</x:f>
        <x:v>21600</x:v>
      </x:c>
      <x:c r="N73" s="22" t="n">
        <x:f>E73*5.5</x:f>
        <x:v>26400</x:v>
      </x:c>
      <x:c r="O73" s="22" t="n">
        <x:f>E73*7.5</x:f>
        <x:v>36000</x:v>
      </x:c>
      <x:c r="P73" s="22" t="n">
        <x:f>E73*9.5</x:f>
        <x:v>45600</x:v>
      </x:c>
      <x:c r="Q73" s="18" t="str">
        <x:v>Более крупные степные пространства</x:v>
      </x:c>
      <x:c r="R73" s="18" t="str">
        <x:v>Проектный профиль v1</x:v>
      </x:c>
      <x:c r="S73" s="18" t="str">
        <x:v>Экспертная классификация проекта</x:v>
      </x:c>
    </x:row>
    <x:row r="74">
      <x:c r="A74" s="18" t="str">
        <x:v>Причерноморская степь</x:v>
      </x:c>
      <x:c r="B74" s="18" t="str">
        <x:v>Восточная Европа</x:v>
      </x:c>
      <x:c r="C74" s="18" t="str">
        <x:v>Европа</x:v>
      </x:c>
      <x:c r="D74" s="18" t="str">
        <x:v>P5</x:v>
      </x:c>
      <x:c r="E74" s="22" t="n">
        <x:v>7000</x:v>
      </x:c>
      <x:c r="F74" s="22" t="n">
        <x:v>1</x:v>
      </x:c>
      <x:c r="G74" s="22" t="n">
        <x:v>16</x:v>
      </x:c>
      <x:c r="H74" s="22" t="n">
        <x:v>0.6</x:v>
      </x:c>
      <x:c r="I74" s="22" t="n">
        <x:v>0.95</x:v>
      </x:c>
      <x:c r="J74" s="22" t="n">
        <x:f>E74*1.5</x:f>
        <x:v>10500</x:v>
      </x:c>
      <x:c r="K74" s="22" t="n">
        <x:f>E74*2.5</x:f>
        <x:v>17500</x:v>
      </x:c>
      <x:c r="L74" s="22" t="n">
        <x:f>E74*3.5</x:f>
        <x:v>24500</x:v>
      </x:c>
      <x:c r="M74" s="22" t="n">
        <x:f>E74*4.5</x:f>
        <x:v>31500</x:v>
      </x:c>
      <x:c r="N74" s="22" t="n">
        <x:f>E74*5.5</x:f>
        <x:v>38500</x:v>
      </x:c>
      <x:c r="O74" s="22" t="n">
        <x:f>E74*7.5</x:f>
        <x:v>52500</x:v>
      </x:c>
      <x:c r="P74" s="22" t="n">
        <x:f>E74*9.5</x:f>
        <x:v>66500</x:v>
      </x:c>
      <x:c r="Q74" s="18" t="str">
        <x:v>Открытая степь и длинные маршруты</x:v>
      </x:c>
      <x:c r="R74" s="18" t="str">
        <x:v>Проектный профиль v1</x:v>
      </x:c>
      <x:c r="S74" s="18" t="str">
        <x:v>Экспертная классификация проекта</x:v>
      </x:c>
    </x:row>
    <x:row r="75">
      <x:c r="A75" s="18" t="str">
        <x:v>Молдавия</x:v>
      </x:c>
      <x:c r="B75" s="18" t="str">
        <x:v>Восточная Европа</x:v>
      </x:c>
      <x:c r="C75" s="18" t="str">
        <x:v>Европа</x:v>
      </x:c>
      <x:c r="D75" s="18" t="str">
        <x:v>P3</x:v>
      </x:c>
      <x:c r="E75" s="22" t="n">
        <x:v>2200</x:v>
      </x:c>
      <x:c r="F75" s="22" t="n">
        <x:v>1</x:v>
      </x:c>
      <x:c r="G75" s="22" t="n">
        <x:v>12</x:v>
      </x:c>
      <x:c r="H75" s="22" t="n">
        <x:v>1.1</x:v>
      </x:c>
      <x:c r="I75" s="22" t="n">
        <x:v>1.1</x:v>
      </x:c>
      <x:c r="J75" s="22" t="n">
        <x:f>E75*1.5</x:f>
        <x:v>3300</x:v>
      </x:c>
      <x:c r="K75" s="22" t="n">
        <x:f>E75*2.5</x:f>
        <x:v>5500</x:v>
      </x:c>
      <x:c r="L75" s="22" t="n">
        <x:f>E75*3.5</x:f>
        <x:v>7700</x:v>
      </x:c>
      <x:c r="M75" s="22" t="n">
        <x:f>E75*4.5</x:f>
        <x:v>9900</x:v>
      </x:c>
      <x:c r="N75" s="22" t="n">
        <x:f>E75*5.5</x:f>
        <x:v>12100</x:v>
      </x:c>
      <x:c r="O75" s="22" t="n">
        <x:f>E75*7.5</x:f>
        <x:v>16500</x:v>
      </x:c>
      <x:c r="P75" s="22" t="n">
        <x:f>E75*9.5</x:f>
        <x:v>20900</x:v>
      </x:c>
      <x:c r="Q75" s="18" t="str">
        <x:v>Холмы и речные долины</x:v>
      </x:c>
      <x:c r="R75" s="18" t="str">
        <x:v>Проектный профиль v1</x:v>
      </x:c>
      <x:c r="S75" s="18" t="str">
        <x:v>Экспертная классификация проекта</x:v>
      </x:c>
    </x:row>
    <x:row r="76">
      <x:c r="A76" s="18" t="str">
        <x:v>Словения и Хорватское ядро</x:v>
      </x:c>
      <x:c r="B76" s="18" t="str">
        <x:v>Балканы</x:v>
      </x:c>
      <x:c r="C76" s="18" t="str">
        <x:v>Европа</x:v>
      </x:c>
      <x:c r="D76" s="18" t="str">
        <x:v>P3</x:v>
      </x:c>
      <x:c r="E76" s="22" t="n">
        <x:v>1800</x:v>
      </x:c>
      <x:c r="F76" s="22" t="n">
        <x:v>1</x:v>
      </x:c>
      <x:c r="G76" s="22" t="n">
        <x:v>12</x:v>
      </x:c>
      <x:c r="H76" s="22" t="n">
        <x:v>1.2</x:v>
      </x:c>
      <x:c r="I76" s="22" t="n">
        <x:v>1.25</x:v>
      </x:c>
      <x:c r="J76" s="22" t="n">
        <x:f>E76*1.5</x:f>
        <x:v>2700</x:v>
      </x:c>
      <x:c r="K76" s="22" t="n">
        <x:f>E76*2.5</x:f>
        <x:v>4500</x:v>
      </x:c>
      <x:c r="L76" s="22" t="n">
        <x:f>E76*3.5</x:f>
        <x:v>6300</x:v>
      </x:c>
      <x:c r="M76" s="22" t="n">
        <x:f>E76*4.5</x:f>
        <x:v>8100</x:v>
      </x:c>
      <x:c r="N76" s="22" t="n">
        <x:f>E76*5.5</x:f>
        <x:v>9900</x:v>
      </x:c>
      <x:c r="O76" s="22" t="n">
        <x:f>E76*7.5</x:f>
        <x:v>13500</x:v>
      </x:c>
      <x:c r="P76" s="22" t="n">
        <x:f>E76*9.5</x:f>
        <x:v>17100</x:v>
      </x:c>
      <x:c r="Q76" s="18" t="str">
        <x:v>Горы, побережье и плотные долины</x:v>
      </x:c>
      <x:c r="R76" s="18" t="str">
        <x:v>Проектный профиль v1</x:v>
      </x:c>
      <x:c r="S76" s="18" t="str">
        <x:v>Экспертная классификация проекта</x:v>
      </x:c>
    </x:row>
    <x:row r="77">
      <x:c r="A77" s="18" t="str">
        <x:v>Далматинское побережье</x:v>
      </x:c>
      <x:c r="B77" s="18" t="str">
        <x:v>Балканы</x:v>
      </x:c>
      <x:c r="C77" s="18" t="str">
        <x:v>Европа</x:v>
      </x:c>
      <x:c r="D77" s="18" t="str">
        <x:v>P2</x:v>
      </x:c>
      <x:c r="E77" s="22" t="n">
        <x:v>1300</x:v>
      </x:c>
      <x:c r="F77" s="22" t="n">
        <x:v>1</x:v>
      </x:c>
      <x:c r="G77" s="22" t="n">
        <x:v>10</x:v>
      </x:c>
      <x:c r="H77" s="22" t="n">
        <x:v>1.2</x:v>
      </x:c>
      <x:c r="I77" s="22" t="n">
        <x:v>1.4</x:v>
      </x:c>
      <x:c r="J77" s="22" t="n">
        <x:f>E77*1.5</x:f>
        <x:v>1950</x:v>
      </x:c>
      <x:c r="K77" s="22" t="n">
        <x:f>E77*2.5</x:f>
        <x:v>3250</x:v>
      </x:c>
      <x:c r="L77" s="22" t="n">
        <x:f>E77*3.5</x:f>
        <x:v>4550</x:v>
      </x:c>
      <x:c r="M77" s="22" t="n">
        <x:f>E77*4.5</x:f>
        <x:v>5850</x:v>
      </x:c>
      <x:c r="N77" s="22" t="n">
        <x:f>E77*5.5</x:f>
        <x:v>7150</x:v>
      </x:c>
      <x:c r="O77" s="22" t="n">
        <x:f>E77*7.5</x:f>
        <x:v>9750</x:v>
      </x:c>
      <x:c r="P77" s="22" t="n">
        <x:f>E77*9.5</x:f>
        <x:v>12350</x:v>
      </x:c>
      <x:c r="Q77" s="18" t="str">
        <x:v>Острова, проливы и узкое побережье</x:v>
      </x:c>
      <x:c r="R77" s="18" t="str">
        <x:v>Проектный профиль v1</x:v>
      </x:c>
      <x:c r="S77" s="18" t="str">
        <x:v>Экспертная классификация проекта</x:v>
      </x:c>
    </x:row>
    <x:row r="78">
      <x:c r="A78" s="18" t="str">
        <x:v>Босния и Герцеговина</x:v>
      </x:c>
      <x:c r="B78" s="18" t="str">
        <x:v>Балканы</x:v>
      </x:c>
      <x:c r="C78" s="18" t="str">
        <x:v>Европа</x:v>
      </x:c>
      <x:c r="D78" s="18" t="str">
        <x:v>P3</x:v>
      </x:c>
      <x:c r="E78" s="22" t="n">
        <x:v>2300</x:v>
      </x:c>
      <x:c r="F78" s="22" t="n">
        <x:v>1</x:v>
      </x:c>
      <x:c r="G78" s="22" t="n">
        <x:v>12</x:v>
      </x:c>
      <x:c r="H78" s="22" t="n">
        <x:v>0.95</x:v>
      </x:c>
      <x:c r="I78" s="22" t="n">
        <x:v>1.3</x:v>
      </x:c>
      <x:c r="J78" s="22" t="n">
        <x:f>E78*1.5</x:f>
        <x:v>3450</x:v>
      </x:c>
      <x:c r="K78" s="22" t="n">
        <x:f>E78*2.5</x:f>
        <x:v>5750</x:v>
      </x:c>
      <x:c r="L78" s="22" t="n">
        <x:f>E78*3.5</x:f>
        <x:v>8050</x:v>
      </x:c>
      <x:c r="M78" s="22" t="n">
        <x:f>E78*4.5</x:f>
        <x:v>10350</x:v>
      </x:c>
      <x:c r="N78" s="22" t="n">
        <x:f>E78*5.5</x:f>
        <x:v>12650</x:v>
      </x:c>
      <x:c r="O78" s="22" t="n">
        <x:f>E78*7.5</x:f>
        <x:v>17250</x:v>
      </x:c>
      <x:c r="P78" s="22" t="n">
        <x:f>E78*9.5</x:f>
        <x:v>21850</x:v>
      </x:c>
      <x:c r="Q78" s="18" t="str">
        <x:v>Горные бассейны</x:v>
      </x:c>
      <x:c r="R78" s="18" t="str">
        <x:v>Проектный профиль v1</x:v>
      </x:c>
      <x:c r="S78" s="18" t="str">
        <x:v>Экспертная классификация проекта</x:v>
      </x:c>
    </x:row>
    <x:row r="79">
      <x:c r="A79" s="18" t="str">
        <x:v>Сербия и Шумадия</x:v>
      </x:c>
      <x:c r="B79" s="18" t="str">
        <x:v>Балканы</x:v>
      </x:c>
      <x:c r="C79" s="18" t="str">
        <x:v>Европа</x:v>
      </x:c>
      <x:c r="D79" s="18" t="str">
        <x:v>P3</x:v>
      </x:c>
      <x:c r="E79" s="22" t="n">
        <x:v>2500</x:v>
      </x:c>
      <x:c r="F79" s="22" t="n">
        <x:v>1</x:v>
      </x:c>
      <x:c r="G79" s="22" t="n">
        <x:v>14</x:v>
      </x:c>
      <x:c r="H79" s="22" t="n">
        <x:v>1</x:v>
      </x:c>
      <x:c r="I79" s="22" t="n">
        <x:v>1.15</x:v>
      </x:c>
      <x:c r="J79" s="22" t="n">
        <x:f>E79*1.5</x:f>
        <x:v>3750</x:v>
      </x:c>
      <x:c r="K79" s="22" t="n">
        <x:f>E79*2.5</x:f>
        <x:v>6250</x:v>
      </x:c>
      <x:c r="L79" s="22" t="n">
        <x:f>E79*3.5</x:f>
        <x:v>8750</x:v>
      </x:c>
      <x:c r="M79" s="22" t="n">
        <x:f>E79*4.5</x:f>
        <x:v>11250</x:v>
      </x:c>
      <x:c r="N79" s="22" t="n">
        <x:f>E79*5.5</x:f>
        <x:v>13750</x:v>
      </x:c>
      <x:c r="O79" s="22" t="n">
        <x:f>E79*7.5</x:f>
        <x:v>18750</x:v>
      </x:c>
      <x:c r="P79" s="22" t="n">
        <x:f>E79*9.5</x:f>
        <x:v>23750</x:v>
      </x:c>
      <x:c r="Q79" s="18" t="str">
        <x:v>Долины и горные окраины</x:v>
      </x:c>
      <x:c r="R79" s="18" t="str">
        <x:v>Проектный профиль v1</x:v>
      </x:c>
      <x:c r="S79" s="18" t="str">
        <x:v>Экспертная классификация проекта</x:v>
      </x:c>
    </x:row>
    <x:row r="80">
      <x:c r="A80" s="18" t="str">
        <x:v>Болгария</x:v>
      </x:c>
      <x:c r="B80" s="18" t="str">
        <x:v>Балканы</x:v>
      </x:c>
      <x:c r="C80" s="18" t="str">
        <x:v>Европа</x:v>
      </x:c>
      <x:c r="D80" s="18" t="str">
        <x:v>P3</x:v>
      </x:c>
      <x:c r="E80" s="22" t="n">
        <x:v>2800</x:v>
      </x:c>
      <x:c r="F80" s="22" t="n">
        <x:v>1</x:v>
      </x:c>
      <x:c r="G80" s="22" t="n">
        <x:v>14</x:v>
      </x:c>
      <x:c r="H80" s="22" t="n">
        <x:v>0.95</x:v>
      </x:c>
      <x:c r="I80" s="22" t="n">
        <x:v>1.2</x:v>
      </x:c>
      <x:c r="J80" s="22" t="n">
        <x:f>E80*1.5</x:f>
        <x:v>4200</x:v>
      </x:c>
      <x:c r="K80" s="22" t="n">
        <x:f>E80*2.5</x:f>
        <x:v>7000</x:v>
      </x:c>
      <x:c r="L80" s="22" t="n">
        <x:f>E80*3.5</x:f>
        <x:v>9800</x:v>
      </x:c>
      <x:c r="M80" s="22" t="n">
        <x:f>E80*4.5</x:f>
        <x:v>12600</x:v>
      </x:c>
      <x:c r="N80" s="22" t="n">
        <x:f>E80*5.5</x:f>
        <x:v>15400</x:v>
      </x:c>
      <x:c r="O80" s="22" t="n">
        <x:f>E80*7.5</x:f>
        <x:v>21000</x:v>
      </x:c>
      <x:c r="P80" s="22" t="n">
        <x:f>E80*9.5</x:f>
        <x:v>26600</x:v>
      </x:c>
      <x:c r="Q80" s="18" t="str">
        <x:v>Балканские хребты и равнины</x:v>
      </x:c>
      <x:c r="R80" s="18" t="str">
        <x:v>Проектный профиль v1</x:v>
      </x:c>
      <x:c r="S80" s="18" t="str">
        <x:v>Экспертная классификация проекта</x:v>
      </x:c>
    </x:row>
    <x:row r="81">
      <x:c r="A81" s="18" t="str">
        <x:v>Валахия и Добруджа</x:v>
      </x:c>
      <x:c r="B81" s="18" t="str">
        <x:v>Балканы</x:v>
      </x:c>
      <x:c r="C81" s="18" t="str">
        <x:v>Европа</x:v>
      </x:c>
      <x:c r="D81" s="18" t="str">
        <x:v>P4</x:v>
      </x:c>
      <x:c r="E81" s="22" t="n">
        <x:v>3200</x:v>
      </x:c>
      <x:c r="F81" s="22" t="n">
        <x:v>1</x:v>
      </x:c>
      <x:c r="G81" s="22" t="n">
        <x:v>14</x:v>
      </x:c>
      <x:c r="H81" s="22" t="n">
        <x:v>0.9</x:v>
      </x:c>
      <x:c r="I81" s="22" t="n">
        <x:v>1.05</x:v>
      </x:c>
      <x:c r="J81" s="22" t="n">
        <x:f>E81*1.5</x:f>
        <x:v>4800</x:v>
      </x:c>
      <x:c r="K81" s="22" t="n">
        <x:f>E81*2.5</x:f>
        <x:v>8000</x:v>
      </x:c>
      <x:c r="L81" s="22" t="n">
        <x:f>E81*3.5</x:f>
        <x:v>11200</x:v>
      </x:c>
      <x:c r="M81" s="22" t="n">
        <x:f>E81*4.5</x:f>
        <x:v>14400</x:v>
      </x:c>
      <x:c r="N81" s="22" t="n">
        <x:f>E81*5.5</x:f>
        <x:v>17600</x:v>
      </x:c>
      <x:c r="O81" s="22" t="n">
        <x:f>E81*7.5</x:f>
        <x:v>24000</x:v>
      </x:c>
      <x:c r="P81" s="22" t="n">
        <x:f>E81*9.5</x:f>
        <x:v>30400</x:v>
      </x:c>
      <x:c r="Q81" s="18" t="str">
        <x:v>Дунайская равнина и побережье</x:v>
      </x:c>
      <x:c r="R81" s="18" t="str">
        <x:v>Проектный профиль v1</x:v>
      </x:c>
      <x:c r="S81" s="18" t="str">
        <x:v>Экспертная классификация проекта</x:v>
      </x:c>
    </x:row>
    <x:row r="82">
      <x:c r="A82" s="18" t="str">
        <x:v>Македония и Фракия</x:v>
      </x:c>
      <x:c r="B82" s="18" t="str">
        <x:v>Балканы</x:v>
      </x:c>
      <x:c r="C82" s="18" t="str">
        <x:v>Европа</x:v>
      </x:c>
      <x:c r="D82" s="18" t="str">
        <x:v>P3</x:v>
      </x:c>
      <x:c r="E82" s="22" t="n">
        <x:v>2200</x:v>
      </x:c>
      <x:c r="F82" s="22" t="n">
        <x:v>1</x:v>
      </x:c>
      <x:c r="G82" s="22" t="n">
        <x:v>14</x:v>
      </x:c>
      <x:c r="H82" s="22" t="n">
        <x:v>1.05</x:v>
      </x:c>
      <x:c r="I82" s="22" t="n">
        <x:v>1.25</x:v>
      </x:c>
      <x:c r="J82" s="22" t="n">
        <x:f>E82*1.5</x:f>
        <x:v>3300</x:v>
      </x:c>
      <x:c r="K82" s="22" t="n">
        <x:f>E82*2.5</x:f>
        <x:v>5500</x:v>
      </x:c>
      <x:c r="L82" s="22" t="n">
        <x:f>E82*3.5</x:f>
        <x:v>7700</x:v>
      </x:c>
      <x:c r="M82" s="22" t="n">
        <x:f>E82*4.5</x:f>
        <x:v>9900</x:v>
      </x:c>
      <x:c r="N82" s="22" t="n">
        <x:f>E82*5.5</x:f>
        <x:v>12100</x:v>
      </x:c>
      <x:c r="O82" s="22" t="n">
        <x:f>E82*7.5</x:f>
        <x:v>16500</x:v>
      </x:c>
      <x:c r="P82" s="22" t="n">
        <x:f>E82*9.5</x:f>
        <x:v>20900</x:v>
      </x:c>
      <x:c r="Q82" s="18" t="str">
        <x:v>Горные бассейны и проходы</x:v>
      </x:c>
      <x:c r="R82" s="18" t="str">
        <x:v>Проектный профиль v1</x:v>
      </x:c>
      <x:c r="S82" s="18" t="str">
        <x:v>Экспертная классификация проекта</x:v>
      </x:c>
    </x:row>
    <x:row r="83">
      <x:c r="A83" s="18" t="str">
        <x:v>Материковая Греция</x:v>
      </x:c>
      <x:c r="B83" s="18" t="str">
        <x:v>Балканы</x:v>
      </x:c>
      <x:c r="C83" s="18" t="str">
        <x:v>Европа</x:v>
      </x:c>
      <x:c r="D83" s="18" t="str">
        <x:v>P3</x:v>
      </x:c>
      <x:c r="E83" s="22" t="n">
        <x:v>1700</x:v>
      </x:c>
      <x:c r="F83" s="22" t="n">
        <x:v>1</x:v>
      </x:c>
      <x:c r="G83" s="22" t="n">
        <x:v>12</x:v>
      </x:c>
      <x:c r="H83" s="22" t="n">
        <x:v>1.15</x:v>
      </x:c>
      <x:c r="I83" s="22" t="n">
        <x:v>1.35</x:v>
      </x:c>
      <x:c r="J83" s="22" t="n">
        <x:f>E83*1.5</x:f>
        <x:v>2550</x:v>
      </x:c>
      <x:c r="K83" s="22" t="n">
        <x:f>E83*2.5</x:f>
        <x:v>4250</x:v>
      </x:c>
      <x:c r="L83" s="22" t="n">
        <x:f>E83*3.5</x:f>
        <x:v>5950</x:v>
      </x:c>
      <x:c r="M83" s="22" t="n">
        <x:f>E83*4.5</x:f>
        <x:v>7650</x:v>
      </x:c>
      <x:c r="N83" s="22" t="n">
        <x:f>E83*5.5</x:f>
        <x:v>9350</x:v>
      </x:c>
      <x:c r="O83" s="22" t="n">
        <x:f>E83*7.5</x:f>
        <x:v>12750</x:v>
      </x:c>
      <x:c r="P83" s="22" t="n">
        <x:f>E83*9.5</x:f>
        <x:v>16150</x:v>
      </x:c>
      <x:c r="Q83" s="18" t="str">
        <x:v>Полуострова, горы и бухты</x:v>
      </x:c>
      <x:c r="R83" s="18" t="str">
        <x:v>Проектный профиль v1</x:v>
      </x:c>
      <x:c r="S83" s="18" t="str">
        <x:v>Экспертная классификация проекта</x:v>
      </x:c>
    </x:row>
    <x:row r="84">
      <x:c r="A84" s="18" t="str">
        <x:v>Греческие острова</x:v>
      </x:c>
      <x:c r="B84" s="18" t="str">
        <x:v>Балканы</x:v>
      </x:c>
      <x:c r="C84" s="18" t="str">
        <x:v>Европа</x:v>
      </x:c>
      <x:c r="D84" s="18" t="str">
        <x:v>P1</x:v>
      </x:c>
      <x:c r="E84" s="22" t="n">
        <x:v>800</x:v>
      </x:c>
      <x:c r="F84" s="22" t="n">
        <x:v>1</x:v>
      </x:c>
      <x:c r="G84" s="22" t="n">
        <x:v>8</x:v>
      </x:c>
      <x:c r="H84" s="22" t="n">
        <x:v>1.25</x:v>
      </x:c>
      <x:c r="I84" s="22" t="n">
        <x:v>1.4</x:v>
      </x:c>
      <x:c r="J84" s="22" t="n">
        <x:f>E84*1.5</x:f>
        <x:v>1200</x:v>
      </x:c>
      <x:c r="K84" s="22" t="n">
        <x:f>E84*2.5</x:f>
        <x:v>2000</x:v>
      </x:c>
      <x:c r="L84" s="22" t="n">
        <x:f>E84*3.5</x:f>
        <x:v>2800</x:v>
      </x:c>
      <x:c r="M84" s="22" t="n">
        <x:f>E84*4.5</x:f>
        <x:v>3600</x:v>
      </x:c>
      <x:c r="N84" s="22" t="n">
        <x:f>E84*5.5</x:f>
        <x:v>4400</x:v>
      </x:c>
      <x:c r="O84" s="22" t="n">
        <x:f>E84*7.5</x:f>
        <x:v>6000</x:v>
      </x:c>
      <x:c r="P84" s="22" t="n">
        <x:f>E84*9.5</x:f>
        <x:v>7600</x:v>
      </x:c>
      <x:c r="Q84" s="18" t="str">
        <x:v>Архипелаги; география важнее площади</x:v>
      </x:c>
      <x:c r="R84" s="18" t="str">
        <x:v>Проектный профиль v1</x:v>
      </x:c>
      <x:c r="S84" s="18" t="str">
        <x:v>Экспертная классификация проекта</x:v>
      </x:c>
    </x:row>
    <x:row r="85">
      <x:c r="A85" s="18" t="str">
        <x:v>Центральная Россия</x:v>
      </x:c>
      <x:c r="B85" s="18" t="str">
        <x:v>Европейская Россия</x:v>
      </x:c>
      <x:c r="C85" s="18" t="str">
        <x:v>Европа</x:v>
      </x:c>
      <x:c r="D85" s="18" t="str">
        <x:v>P5</x:v>
      </x:c>
      <x:c r="E85" s="22" t="n">
        <x:v>6500</x:v>
      </x:c>
      <x:c r="F85" s="22" t="n">
        <x:v>1</x:v>
      </x:c>
      <x:c r="G85" s="22" t="n">
        <x:v>16</x:v>
      </x:c>
      <x:c r="H85" s="22" t="n">
        <x:v>0.75</x:v>
      </x:c>
      <x:c r="I85" s="22" t="n">
        <x:v>1</x:v>
      </x:c>
      <x:c r="J85" s="22" t="n">
        <x:f>E85*1.5</x:f>
        <x:v>9750</x:v>
      </x:c>
      <x:c r="K85" s="22" t="n">
        <x:f>E85*2.5</x:f>
        <x:v>16250</x:v>
      </x:c>
      <x:c r="L85" s="22" t="n">
        <x:f>E85*3.5</x:f>
        <x:v>22750</x:v>
      </x:c>
      <x:c r="M85" s="22" t="n">
        <x:f>E85*4.5</x:f>
        <x:v>29250</x:v>
      </x:c>
      <x:c r="N85" s="22" t="n">
        <x:f>E85*5.5</x:f>
        <x:v>35750</x:v>
      </x:c>
      <x:c r="O85" s="22" t="n">
        <x:f>E85*7.5</x:f>
        <x:v>48750</x:v>
      </x:c>
      <x:c r="P85" s="22" t="n">
        <x:f>E85*9.5</x:f>
        <x:v>61750</x:v>
      </x:c>
      <x:c r="Q85" s="18" t="str">
        <x:v>Большие лесо-аграрные провинции</x:v>
      </x:c>
      <x:c r="R85" s="18" t="str">
        <x:v>Проектный профиль v1</x:v>
      </x:c>
      <x:c r="S85" s="18" t="str">
        <x:v>Экспертная классификация проекта</x:v>
      </x:c>
    </x:row>
    <x:row r="86">
      <x:c r="A86" s="18" t="str">
        <x:v>Северо-Западная Россия</x:v>
      </x:c>
      <x:c r="B86" s="18" t="str">
        <x:v>Европейская Россия</x:v>
      </x:c>
      <x:c r="C86" s="18" t="str">
        <x:v>Европа</x:v>
      </x:c>
      <x:c r="D86" s="18" t="str">
        <x:v>P5</x:v>
      </x:c>
      <x:c r="E86" s="22" t="n">
        <x:v>8500</x:v>
      </x:c>
      <x:c r="F86" s="22" t="n">
        <x:v>1</x:v>
      </x:c>
      <x:c r="G86" s="22" t="n">
        <x:v>14</x:v>
      </x:c>
      <x:c r="H86" s="22" t="n">
        <x:v>0.6</x:v>
      </x:c>
      <x:c r="I86" s="22" t="n">
        <x:v>1.1</x:v>
      </x:c>
      <x:c r="J86" s="22" t="n">
        <x:f>E86*1.5</x:f>
        <x:v>12750</x:v>
      </x:c>
      <x:c r="K86" s="22" t="n">
        <x:f>E86*2.5</x:f>
        <x:v>21250</x:v>
      </x:c>
      <x:c r="L86" s="22" t="n">
        <x:f>E86*3.5</x:f>
        <x:v>29750</x:v>
      </x:c>
      <x:c r="M86" s="22" t="n">
        <x:f>E86*4.5</x:f>
        <x:v>38250</x:v>
      </x:c>
      <x:c r="N86" s="22" t="n">
        <x:f>E86*5.5</x:f>
        <x:v>46750</x:v>
      </x:c>
      <x:c r="O86" s="22" t="n">
        <x:f>E86*7.5</x:f>
        <x:v>63750</x:v>
      </x:c>
      <x:c r="P86" s="22" t="n">
        <x:f>E86*9.5</x:f>
        <x:v>80750</x:v>
      </x:c>
      <x:c r="Q86" s="18" t="str">
        <x:v>Озёра, леса и побережья</x:v>
      </x:c>
      <x:c r="R86" s="18" t="str">
        <x:v>Проектный профиль v1</x:v>
      </x:c>
      <x:c r="S86" s="18" t="str">
        <x:v>Экспертная классификация проекта</x:v>
      </x:c>
    </x:row>
    <x:row r="87">
      <x:c r="A87" s="18" t="str">
        <x:v>Поволжье</x:v>
      </x:c>
      <x:c r="B87" s="18" t="str">
        <x:v>Европейская Россия</x:v>
      </x:c>
      <x:c r="C87" s="18" t="str">
        <x:v>Европа</x:v>
      </x:c>
      <x:c r="D87" s="18" t="str">
        <x:v>P5</x:v>
      </x:c>
      <x:c r="E87" s="22" t="n">
        <x:v>9000</x:v>
      </x:c>
      <x:c r="F87" s="22" t="n">
        <x:v>1</x:v>
      </x:c>
      <x:c r="G87" s="22" t="n">
        <x:v>16</x:v>
      </x:c>
      <x:c r="H87" s="22" t="n">
        <x:v>0.65</x:v>
      </x:c>
      <x:c r="I87" s="22" t="n">
        <x:v>1.05</x:v>
      </x:c>
      <x:c r="J87" s="22" t="n">
        <x:f>E87*1.5</x:f>
        <x:v>13500</x:v>
      </x:c>
      <x:c r="K87" s="22" t="n">
        <x:f>E87*2.5</x:f>
        <x:v>22500</x:v>
      </x:c>
      <x:c r="L87" s="22" t="n">
        <x:f>E87*3.5</x:f>
        <x:v>31500</x:v>
      </x:c>
      <x:c r="M87" s="22" t="n">
        <x:f>E87*4.5</x:f>
        <x:v>40500</x:v>
      </x:c>
      <x:c r="N87" s="22" t="n">
        <x:f>E87*5.5</x:f>
        <x:v>49500</x:v>
      </x:c>
      <x:c r="O87" s="22" t="n">
        <x:f>E87*7.5</x:f>
        <x:v>67500</x:v>
      </x:c>
      <x:c r="P87" s="22" t="n">
        <x:f>E87*9.5</x:f>
        <x:v>85500</x:v>
      </x:c>
      <x:c r="Q87" s="18" t="str">
        <x:v>Речная ось и большие пространства</x:v>
      </x:c>
      <x:c r="R87" s="18" t="str">
        <x:v>Проектный профиль v1</x:v>
      </x:c>
      <x:c r="S87" s="18" t="str">
        <x:v>Экспертная классификация проекта</x:v>
      </x:c>
    </x:row>
    <x:row r="88">
      <x:c r="A88" s="18" t="str">
        <x:v>Южная Россия и Предкавказье</x:v>
      </x:c>
      <x:c r="B88" s="18" t="str">
        <x:v>Европейская Россия</x:v>
      </x:c>
      <x:c r="C88" s="18" t="str">
        <x:v>Европа</x:v>
      </x:c>
      <x:c r="D88" s="18" t="str">
        <x:v>P5</x:v>
      </x:c>
      <x:c r="E88" s="22" t="n">
        <x:v>7000</x:v>
      </x:c>
      <x:c r="F88" s="22" t="n">
        <x:v>1</x:v>
      </x:c>
      <x:c r="G88" s="22" t="n">
        <x:v>16</x:v>
      </x:c>
      <x:c r="H88" s="22" t="n">
        <x:v>0.75</x:v>
      </x:c>
      <x:c r="I88" s="22" t="n">
        <x:v>1.1</x:v>
      </x:c>
      <x:c r="J88" s="22" t="n">
        <x:f>E88*1.5</x:f>
        <x:v>10500</x:v>
      </x:c>
      <x:c r="K88" s="22" t="n">
        <x:f>E88*2.5</x:f>
        <x:v>17500</x:v>
      </x:c>
      <x:c r="L88" s="22" t="n">
        <x:f>E88*3.5</x:f>
        <x:v>24500</x:v>
      </x:c>
      <x:c r="M88" s="22" t="n">
        <x:f>E88*4.5</x:f>
        <x:v>31500</x:v>
      </x:c>
      <x:c r="N88" s="22" t="n">
        <x:f>E88*5.5</x:f>
        <x:v>38500</x:v>
      </x:c>
      <x:c r="O88" s="22" t="n">
        <x:f>E88*7.5</x:f>
        <x:v>52500</x:v>
      </x:c>
      <x:c r="P88" s="22" t="n">
        <x:f>E88*9.5</x:f>
        <x:v>66500</x:v>
      </x:c>
      <x:c r="Q88" s="18" t="str">
        <x:v>Степи, реки и предгорья</x:v>
      </x:c>
      <x:c r="R88" s="18" t="str">
        <x:v>Проектный профиль v1</x:v>
      </x:c>
      <x:c r="S88" s="18" t="str">
        <x:v>Экспертная классификация проекта</x:v>
      </x:c>
    </x:row>
    <x:row r="89">
      <x:c r="A89" s="18" t="str">
        <x:v>Урал</x:v>
      </x:c>
      <x:c r="B89" s="18" t="str">
        <x:v>Европейская Россия</x:v>
      </x:c>
      <x:c r="C89" s="18" t="str">
        <x:v>Европа</x:v>
      </x:c>
      <x:c r="D89" s="18" t="str">
        <x:v>P6</x:v>
      </x:c>
      <x:c r="E89" s="22" t="n">
        <x:v>16000</x:v>
      </x:c>
      <x:c r="F89" s="22" t="n">
        <x:v>1</x:v>
      </x:c>
      <x:c r="G89" s="22" t="n">
        <x:v>14</x:v>
      </x:c>
      <x:c r="H89" s="22" t="n">
        <x:v>0.35</x:v>
      </x:c>
      <x:c r="I89" s="22" t="n">
        <x:v>1.25</x:v>
      </x:c>
      <x:c r="J89" s="22" t="n">
        <x:f>E89*1.5</x:f>
        <x:v>24000</x:v>
      </x:c>
      <x:c r="K89" s="22" t="n">
        <x:f>E89*2.5</x:f>
        <x:v>40000</x:v>
      </x:c>
      <x:c r="L89" s="22" t="n">
        <x:f>E89*3.5</x:f>
        <x:v>56000</x:v>
      </x:c>
      <x:c r="M89" s="22" t="n">
        <x:f>E89*4.5</x:f>
        <x:v>72000</x:v>
      </x:c>
      <x:c r="N89" s="22" t="n">
        <x:f>E89*5.5</x:f>
        <x:v>88000</x:v>
      </x:c>
      <x:c r="O89" s="22" t="n">
        <x:f>E89*7.5</x:f>
        <x:v>120000</x:v>
      </x:c>
      <x:c r="P89" s="22" t="n">
        <x:f>E89*9.5</x:f>
        <x:v>152000</x:v>
      </x:c>
      <x:c r="Q89" s="18" t="str">
        <x:v>Горный барьер и редкие центры</x:v>
      </x:c>
      <x:c r="R89" s="18" t="str">
        <x:v>Проектный профиль v1</x:v>
      </x:c>
      <x:c r="S89" s="18" t="str">
        <x:v>Экспертная классификация проекта</x:v>
      </x:c>
    </x:row>
    <x:row r="90">
      <x:c r="A90" s="18" t="str">
        <x:v>Русский Север</x:v>
      </x:c>
      <x:c r="B90" s="18" t="str">
        <x:v>Европейская Россия</x:v>
      </x:c>
      <x:c r="C90" s="18" t="str">
        <x:v>Европа</x:v>
      </x:c>
      <x:c r="D90" s="18" t="str">
        <x:v>P7</x:v>
      </x:c>
      <x:c r="E90" s="22" t="n">
        <x:v>35000</x:v>
      </x:c>
      <x:c r="F90" s="22" t="n">
        <x:v>1</x:v>
      </x:c>
      <x:c r="G90" s="22" t="n">
        <x:v>12</x:v>
      </x:c>
      <x:c r="H90" s="22" t="n">
        <x:v>0.2</x:v>
      </x:c>
      <x:c r="I90" s="22" t="n">
        <x:v>1.05</x:v>
      </x:c>
      <x:c r="J90" s="22" t="n">
        <x:f>E90*1.5</x:f>
        <x:v>52500</x:v>
      </x:c>
      <x:c r="K90" s="22" t="n">
        <x:f>E90*2.5</x:f>
        <x:v>87500</x:v>
      </x:c>
      <x:c r="L90" s="22" t="n">
        <x:f>E90*3.5</x:f>
        <x:v>122500</x:v>
      </x:c>
      <x:c r="M90" s="22" t="n">
        <x:f>E90*4.5</x:f>
        <x:v>157500</x:v>
      </x:c>
      <x:c r="N90" s="22" t="n">
        <x:f>E90*5.5</x:f>
        <x:v>192500</x:v>
      </x:c>
      <x:c r="O90" s="22" t="n">
        <x:f>E90*7.5</x:f>
        <x:v>262500</x:v>
      </x:c>
      <x:c r="P90" s="22" t="n">
        <x:f>E90*9.5</x:f>
        <x:v>332500</x:v>
      </x:c>
      <x:c r="Q90" s="18" t="str">
        <x:v>Очень редкое население и огромные территории</x:v>
      </x:c>
      <x:c r="R90" s="18" t="str">
        <x:v>Проектный профиль v1</x:v>
      </x:c>
      <x:c r="S90" s="18" t="str">
        <x:v>Экспертная классификация проекта</x:v>
      </x:c>
    </x:row>
    <x:row r="91">
      <x:c r="A91" s="18" t="str">
        <x:v>Западная Анатолия</x:v>
      </x:c>
      <x:c r="B91" s="18" t="str">
        <x:v>Малая Азия</x:v>
      </x:c>
      <x:c r="C91" s="18" t="str">
        <x:v>Азия</x:v>
      </x:c>
      <x:c r="D91" s="18" t="str">
        <x:v>P3</x:v>
      </x:c>
      <x:c r="E91" s="22" t="n">
        <x:v>2500</x:v>
      </x:c>
      <x:c r="F91" s="22" t="n">
        <x:v>1</x:v>
      </x:c>
      <x:c r="G91" s="22" t="n">
        <x:v>14</x:v>
      </x:c>
      <x:c r="H91" s="22" t="n">
        <x:v>1.15</x:v>
      </x:c>
      <x:c r="I91" s="22" t="n">
        <x:v>1.15</x:v>
      </x:c>
      <x:c r="J91" s="22" t="n">
        <x:f>E91*1.5</x:f>
        <x:v>3750</x:v>
      </x:c>
      <x:c r="K91" s="22" t="n">
        <x:f>E91*2.5</x:f>
        <x:v>6250</x:v>
      </x:c>
      <x:c r="L91" s="22" t="n">
        <x:f>E91*3.5</x:f>
        <x:v>8750</x:v>
      </x:c>
      <x:c r="M91" s="22" t="n">
        <x:f>E91*4.5</x:f>
        <x:v>11250</x:v>
      </x:c>
      <x:c r="N91" s="22" t="n">
        <x:f>E91*5.5</x:f>
        <x:v>13750</x:v>
      </x:c>
      <x:c r="O91" s="22" t="n">
        <x:f>E91*7.5</x:f>
        <x:v>18750</x:v>
      </x:c>
      <x:c r="P91" s="22" t="n">
        <x:f>E91*9.5</x:f>
        <x:v>23750</x:v>
      </x:c>
      <x:c r="Q91" s="18" t="str">
        <x:v>Города, побережье и долины</x:v>
      </x:c>
      <x:c r="R91" s="18" t="str">
        <x:v>Проектный профиль v1</x:v>
      </x:c>
      <x:c r="S91" s="18" t="str">
        <x:v>Экспертная классификация проекта</x:v>
      </x:c>
    </x:row>
    <x:row r="92">
      <x:c r="A92" s="18" t="str">
        <x:v>Центральная Анатолия</x:v>
      </x:c>
      <x:c r="B92" s="18" t="str">
        <x:v>Малая Азия</x:v>
      </x:c>
      <x:c r="C92" s="18" t="str">
        <x:v>Азия</x:v>
      </x:c>
      <x:c r="D92" s="18" t="str">
        <x:v>P4</x:v>
      </x:c>
      <x:c r="E92" s="22" t="n">
        <x:v>4500</x:v>
      </x:c>
      <x:c r="F92" s="22" t="n">
        <x:v>1</x:v>
      </x:c>
      <x:c r="G92" s="22" t="n">
        <x:v>14</x:v>
      </x:c>
      <x:c r="H92" s="22" t="n">
        <x:v>0.8</x:v>
      </x:c>
      <x:c r="I92" s="22" t="n">
        <x:v>1.05</x:v>
      </x:c>
      <x:c r="J92" s="22" t="n">
        <x:f>E92*1.5</x:f>
        <x:v>6750</x:v>
      </x:c>
      <x:c r="K92" s="22" t="n">
        <x:f>E92*2.5</x:f>
        <x:v>11250</x:v>
      </x:c>
      <x:c r="L92" s="22" t="n">
        <x:f>E92*3.5</x:f>
        <x:v>15750</x:v>
      </x:c>
      <x:c r="M92" s="22" t="n">
        <x:f>E92*4.5</x:f>
        <x:v>20250</x:v>
      </x:c>
      <x:c r="N92" s="22" t="n">
        <x:f>E92*5.5</x:f>
        <x:v>24750</x:v>
      </x:c>
      <x:c r="O92" s="22" t="n">
        <x:f>E92*7.5</x:f>
        <x:v>33750</x:v>
      </x:c>
      <x:c r="P92" s="22" t="n">
        <x:f>E92*9.5</x:f>
        <x:v>42750</x:v>
      </x:c>
      <x:c r="Q92" s="18" t="str">
        <x:v>Плато и большие аграрные пространства</x:v>
      </x:c>
      <x:c r="R92" s="18" t="str">
        <x:v>Проектный профиль v1</x:v>
      </x:c>
      <x:c r="S92" s="18" t="str">
        <x:v>Экспертная классификация проекта</x:v>
      </x:c>
    </x:row>
    <x:row r="93">
      <x:c r="A93" s="18" t="str">
        <x:v>Восточная Анатолия</x:v>
      </x:c>
      <x:c r="B93" s="18" t="str">
        <x:v>Малая Азия</x:v>
      </x:c>
      <x:c r="C93" s="18" t="str">
        <x:v>Азия</x:v>
      </x:c>
      <x:c r="D93" s="18" t="str">
        <x:v>P5</x:v>
      </x:c>
      <x:c r="E93" s="22" t="n">
        <x:v>6500</x:v>
      </x:c>
      <x:c r="F93" s="22" t="n">
        <x:v>1</x:v>
      </x:c>
      <x:c r="G93" s="22" t="n">
        <x:v>14</x:v>
      </x:c>
      <x:c r="H93" s="22" t="n">
        <x:v>0.55</x:v>
      </x:c>
      <x:c r="I93" s="22" t="n">
        <x:v>1.25</x:v>
      </x:c>
      <x:c r="J93" s="22" t="n">
        <x:f>E93*1.5</x:f>
        <x:v>9750</x:v>
      </x:c>
      <x:c r="K93" s="22" t="n">
        <x:f>E93*2.5</x:f>
        <x:v>16250</x:v>
      </x:c>
      <x:c r="L93" s="22" t="n">
        <x:f>E93*3.5</x:f>
        <x:v>22750</x:v>
      </x:c>
      <x:c r="M93" s="22" t="n">
        <x:f>E93*4.5</x:f>
        <x:v>29250</x:v>
      </x:c>
      <x:c r="N93" s="22" t="n">
        <x:f>E93*5.5</x:f>
        <x:v>35750</x:v>
      </x:c>
      <x:c r="O93" s="22" t="n">
        <x:f>E93*7.5</x:f>
        <x:v>48750</x:v>
      </x:c>
      <x:c r="P93" s="22" t="n">
        <x:f>E93*9.5</x:f>
        <x:v>61750</x:v>
      </x:c>
      <x:c r="Q93" s="18" t="str">
        <x:v>Горное плато и редкая сеть</x:v>
      </x:c>
      <x:c r="R93" s="18" t="str">
        <x:v>Проектный профиль v1</x:v>
      </x:c>
      <x:c r="S93" s="18" t="str">
        <x:v>Экспертная классификация проекта</x:v>
      </x:c>
    </x:row>
    <x:row r="94">
      <x:c r="A94" s="18" t="str">
        <x:v>Армянское нагорье</x:v>
      </x:c>
      <x:c r="B94" s="18" t="str">
        <x:v>Кавказ</x:v>
      </x:c>
      <x:c r="C94" s="18" t="str">
        <x:v>Азия</x:v>
      </x:c>
      <x:c r="D94" s="18" t="str">
        <x:v>P5</x:v>
      </x:c>
      <x:c r="E94" s="22" t="n">
        <x:v>5500</x:v>
      </x:c>
      <x:c r="F94" s="22" t="n">
        <x:v>1</x:v>
      </x:c>
      <x:c r="G94" s="22" t="n">
        <x:v>12</x:v>
      </x:c>
      <x:c r="H94" s="22" t="n">
        <x:v>0.7</x:v>
      </x:c>
      <x:c r="I94" s="22" t="n">
        <x:v>1.35</x:v>
      </x:c>
      <x:c r="J94" s="22" t="n">
        <x:f>E94*1.5</x:f>
        <x:v>8250</x:v>
      </x:c>
      <x:c r="K94" s="22" t="n">
        <x:f>E94*2.5</x:f>
        <x:v>13750</x:v>
      </x:c>
      <x:c r="L94" s="22" t="n">
        <x:f>E94*3.5</x:f>
        <x:v>19250</x:v>
      </x:c>
      <x:c r="M94" s="22" t="n">
        <x:f>E94*4.5</x:f>
        <x:v>24750</x:v>
      </x:c>
      <x:c r="N94" s="22" t="n">
        <x:f>E94*5.5</x:f>
        <x:v>30250</x:v>
      </x:c>
      <x:c r="O94" s="22" t="n">
        <x:f>E94*7.5</x:f>
        <x:v>41250</x:v>
      </x:c>
      <x:c r="P94" s="22" t="n">
        <x:f>E94*9.5</x:f>
        <x:v>52250</x:v>
      </x:c>
      <x:c r="Q94" s="18" t="str">
        <x:v>Горные бассейны и перевалы</x:v>
      </x:c>
      <x:c r="R94" s="18" t="str">
        <x:v>Проектный профиль v1</x:v>
      </x:c>
      <x:c r="S94" s="18" t="str">
        <x:v>Экспертная классификация проекта</x:v>
      </x:c>
    </x:row>
    <x:row r="95">
      <x:c r="A95" s="18" t="str">
        <x:v>Грузия и Закавказье</x:v>
      </x:c>
      <x:c r="B95" s="18" t="str">
        <x:v>Кавказ</x:v>
      </x:c>
      <x:c r="C95" s="18" t="str">
        <x:v>Азия</x:v>
      </x:c>
      <x:c r="D95" s="18" t="str">
        <x:v>P3</x:v>
      </x:c>
      <x:c r="E95" s="22" t="n">
        <x:v>2400</x:v>
      </x:c>
      <x:c r="F95" s="22" t="n">
        <x:v>1</x:v>
      </x:c>
      <x:c r="G95" s="22" t="n">
        <x:v>14</x:v>
      </x:c>
      <x:c r="H95" s="22" t="n">
        <x:v>1.05</x:v>
      </x:c>
      <x:c r="I95" s="22" t="n">
        <x:v>1.35</x:v>
      </x:c>
      <x:c r="J95" s="22" t="n">
        <x:f>E95*1.5</x:f>
        <x:v>3600</x:v>
      </x:c>
      <x:c r="K95" s="22" t="n">
        <x:f>E95*2.5</x:f>
        <x:v>6000</x:v>
      </x:c>
      <x:c r="L95" s="22" t="n">
        <x:f>E95*3.5</x:f>
        <x:v>8400</x:v>
      </x:c>
      <x:c r="M95" s="22" t="n">
        <x:f>E95*4.5</x:f>
        <x:v>10800</x:v>
      </x:c>
      <x:c r="N95" s="22" t="n">
        <x:f>E95*5.5</x:f>
        <x:v>13200</x:v>
      </x:c>
      <x:c r="O95" s="22" t="n">
        <x:f>E95*7.5</x:f>
        <x:v>18000</x:v>
      </x:c>
      <x:c r="P95" s="22" t="n">
        <x:f>E95*9.5</x:f>
        <x:v>22800</x:v>
      </x:c>
      <x:c r="Q95" s="18" t="str">
        <x:v>Долины, побережье и горы</x:v>
      </x:c>
      <x:c r="R95" s="18" t="str">
        <x:v>Проектный профиль v1</x:v>
      </x:c>
      <x:c r="S95" s="18" t="str">
        <x:v>Экспертная классификация проекта</x:v>
      </x:c>
    </x:row>
    <x:row r="96">
      <x:c r="A96" s="18" t="str">
        <x:v>Северный Кавказ</x:v>
      </x:c>
      <x:c r="B96" s="18" t="str">
        <x:v>Кавказ</x:v>
      </x:c>
      <x:c r="C96" s="18" t="str">
        <x:v>Азия</x:v>
      </x:c>
      <x:c r="D96" s="18" t="str">
        <x:v>P4</x:v>
      </x:c>
      <x:c r="E96" s="22" t="n">
        <x:v>4000</x:v>
      </x:c>
      <x:c r="F96" s="22" t="n">
        <x:v>1</x:v>
      </x:c>
      <x:c r="G96" s="22" t="n">
        <x:v>14</x:v>
      </x:c>
      <x:c r="H96" s="22" t="n">
        <x:v>0.85</x:v>
      </x:c>
      <x:c r="I96" s="22" t="n">
        <x:v>1.35</x:v>
      </x:c>
      <x:c r="J96" s="22" t="n">
        <x:f>E96*1.5</x:f>
        <x:v>6000</x:v>
      </x:c>
      <x:c r="K96" s="22" t="n">
        <x:f>E96*2.5</x:f>
        <x:v>10000</x:v>
      </x:c>
      <x:c r="L96" s="22" t="n">
        <x:f>E96*3.5</x:f>
        <x:v>14000</x:v>
      </x:c>
      <x:c r="M96" s="22" t="n">
        <x:f>E96*4.5</x:f>
        <x:v>18000</x:v>
      </x:c>
      <x:c r="N96" s="22" t="n">
        <x:f>E96*5.5</x:f>
        <x:v>22000</x:v>
      </x:c>
      <x:c r="O96" s="22" t="n">
        <x:f>E96*7.5</x:f>
        <x:v>30000</x:v>
      </x:c>
      <x:c r="P96" s="22" t="n">
        <x:f>E96*9.5</x:f>
        <x:v>38000</x:v>
      </x:c>
      <x:c r="Q96" s="18" t="str">
        <x:v>Горные ущелья и предгорья</x:v>
      </x:c>
      <x:c r="R96" s="18" t="str">
        <x:v>Проектный профиль v1</x:v>
      </x:c>
      <x:c r="S96" s="18" t="str">
        <x:v>Экспертная классификация проекта</x:v>
      </x:c>
    </x:row>
    <x:row r="97">
      <x:c r="A97" s="18" t="str">
        <x:v>Левантийское побережье</x:v>
      </x:c>
      <x:c r="B97" s="18" t="str">
        <x:v>Левант</x:v>
      </x:c>
      <x:c r="C97" s="18" t="str">
        <x:v>Азия</x:v>
      </x:c>
      <x:c r="D97" s="18" t="str">
        <x:v>P2</x:v>
      </x:c>
      <x:c r="E97" s="22" t="n">
        <x:v>1400</x:v>
      </x:c>
      <x:c r="F97" s="22" t="n">
        <x:v>1</x:v>
      </x:c>
      <x:c r="G97" s="22" t="n">
        <x:v>12</x:v>
      </x:c>
      <x:c r="H97" s="22" t="n">
        <x:v>1.55</x:v>
      </x:c>
      <x:c r="I97" s="22" t="n">
        <x:v>1.15</x:v>
      </x:c>
      <x:c r="J97" s="22" t="n">
        <x:f>E97*1.5</x:f>
        <x:v>2100</x:v>
      </x:c>
      <x:c r="K97" s="22" t="n">
        <x:f>E97*2.5</x:f>
        <x:v>3500</x:v>
      </x:c>
      <x:c r="L97" s="22" t="n">
        <x:f>E97*3.5</x:f>
        <x:v>4900</x:v>
      </x:c>
      <x:c r="M97" s="22" t="n">
        <x:f>E97*4.5</x:f>
        <x:v>6300</x:v>
      </x:c>
      <x:c r="N97" s="22" t="n">
        <x:f>E97*5.5</x:f>
        <x:v>7700</x:v>
      </x:c>
      <x:c r="O97" s="22" t="n">
        <x:f>E97*7.5</x:f>
        <x:v>10500</x:v>
      </x:c>
      <x:c r="P97" s="22" t="n">
        <x:f>E97*9.5</x:f>
        <x:v>13300</x:v>
      </x:c>
      <x:c r="Q97" s="18" t="str">
        <x:v>Узкая плотная историческая полоса</x:v>
      </x:c>
      <x:c r="R97" s="18" t="str">
        <x:v>Проектный профиль v1</x:v>
      </x:c>
      <x:c r="S97" s="18" t="str">
        <x:v>Экспертная классификация проекта</x:v>
      </x:c>
    </x:row>
    <x:row r="98">
      <x:c r="A98" s="18" t="str">
        <x:v>Внутренний Левант</x:v>
      </x:c>
      <x:c r="B98" s="18" t="str">
        <x:v>Левант</x:v>
      </x:c>
      <x:c r="C98" s="18" t="str">
        <x:v>Азия</x:v>
      </x:c>
      <x:c r="D98" s="18" t="str">
        <x:v>P3</x:v>
      </x:c>
      <x:c r="E98" s="22" t="n">
        <x:v>2500</x:v>
      </x:c>
      <x:c r="F98" s="22" t="n">
        <x:v>1</x:v>
      </x:c>
      <x:c r="G98" s="22" t="n">
        <x:v>12</x:v>
      </x:c>
      <x:c r="H98" s="22" t="n">
        <x:v>1.1</x:v>
      </x:c>
      <x:c r="I98" s="22" t="n">
        <x:v>1.1</x:v>
      </x:c>
      <x:c r="J98" s="22" t="n">
        <x:f>E98*1.5</x:f>
        <x:v>3750</x:v>
      </x:c>
      <x:c r="K98" s="22" t="n">
        <x:f>E98*2.5</x:f>
        <x:v>6250</x:v>
      </x:c>
      <x:c r="L98" s="22" t="n">
        <x:f>E98*3.5</x:f>
        <x:v>8750</x:v>
      </x:c>
      <x:c r="M98" s="22" t="n">
        <x:f>E98*4.5</x:f>
        <x:v>11250</x:v>
      </x:c>
      <x:c r="N98" s="22" t="n">
        <x:f>E98*5.5</x:f>
        <x:v>13750</x:v>
      </x:c>
      <x:c r="O98" s="22" t="n">
        <x:f>E98*7.5</x:f>
        <x:v>18750</x:v>
      </x:c>
      <x:c r="P98" s="22" t="n">
        <x:f>E98*9.5</x:f>
        <x:v>23750</x:v>
      </x:c>
      <x:c r="Q98" s="18" t="str">
        <x:v>Плато, долины и города</x:v>
      </x:c>
      <x:c r="R98" s="18" t="str">
        <x:v>Проектный профиль v1</x:v>
      </x:c>
      <x:c r="S98" s="18" t="str">
        <x:v>Экспертная классификация проекта</x:v>
      </x:c>
    </x:row>
    <x:row r="99">
      <x:c r="A99" s="18" t="str">
        <x:v>Верхняя Месопотамия</x:v>
      </x:c>
      <x:c r="B99" s="18" t="str">
        <x:v>Месопотамия</x:v>
      </x:c>
      <x:c r="C99" s="18" t="str">
        <x:v>Азия</x:v>
      </x:c>
      <x:c r="D99" s="18" t="str">
        <x:v>P3</x:v>
      </x:c>
      <x:c r="E99" s="22" t="n">
        <x:v>2600</x:v>
      </x:c>
      <x:c r="F99" s="22" t="n">
        <x:v>1</x:v>
      </x:c>
      <x:c r="G99" s="22" t="n">
        <x:v>14</x:v>
      </x:c>
      <x:c r="H99" s="22" t="n">
        <x:v>1.2</x:v>
      </x:c>
      <x:c r="I99" s="22" t="n">
        <x:v>1.1</x:v>
      </x:c>
      <x:c r="J99" s="22" t="n">
        <x:f>E99*1.5</x:f>
        <x:v>3900</x:v>
      </x:c>
      <x:c r="K99" s="22" t="n">
        <x:f>E99*2.5</x:f>
        <x:v>6500</x:v>
      </x:c>
      <x:c r="L99" s="22" t="n">
        <x:f>E99*3.5</x:f>
        <x:v>9100</x:v>
      </x:c>
      <x:c r="M99" s="22" t="n">
        <x:f>E99*4.5</x:f>
        <x:v>11700</x:v>
      </x:c>
      <x:c r="N99" s="22" t="n">
        <x:f>E99*5.5</x:f>
        <x:v>14300</x:v>
      </x:c>
      <x:c r="O99" s="22" t="n">
        <x:f>E99*7.5</x:f>
        <x:v>19500</x:v>
      </x:c>
      <x:c r="P99" s="22" t="n">
        <x:f>E99*9.5</x:f>
        <x:v>24700</x:v>
      </x:c>
      <x:c r="Q99" s="18" t="str">
        <x:v>Речные долины и исторические города</x:v>
      </x:c>
      <x:c r="R99" s="18" t="str">
        <x:v>Проектный профиль v1</x:v>
      </x:c>
      <x:c r="S99" s="18" t="str">
        <x:v>Экспертная классификация проекта</x:v>
      </x:c>
    </x:row>
    <x:row r="100">
      <x:c r="A100" s="18" t="str">
        <x:v>Нижняя Месопотамия</x:v>
      </x:c>
      <x:c r="B100" s="18" t="str">
        <x:v>Месопотамия</x:v>
      </x:c>
      <x:c r="C100" s="18" t="str">
        <x:v>Азия</x:v>
      </x:c>
      <x:c r="D100" s="18" t="str">
        <x:v>P2</x:v>
      </x:c>
      <x:c r="E100" s="22" t="n">
        <x:v>1800</x:v>
      </x:c>
      <x:c r="F100" s="22" t="n">
        <x:v>1</x:v>
      </x:c>
      <x:c r="G100" s="22" t="n">
        <x:v>14</x:v>
      </x:c>
      <x:c r="H100" s="22" t="n">
        <x:v>1.55</x:v>
      </x:c>
      <x:c r="I100" s="22" t="n">
        <x:v>1.05</x:v>
      </x:c>
      <x:c r="J100" s="22" t="n">
        <x:f>E100*1.5</x:f>
        <x:v>2700</x:v>
      </x:c>
      <x:c r="K100" s="22" t="n">
        <x:f>E100*2.5</x:f>
        <x:v>4500</x:v>
      </x:c>
      <x:c r="L100" s="22" t="n">
        <x:f>E100*3.5</x:f>
        <x:v>6300</x:v>
      </x:c>
      <x:c r="M100" s="22" t="n">
        <x:f>E100*4.5</x:f>
        <x:v>8100</x:v>
      </x:c>
      <x:c r="N100" s="22" t="n">
        <x:f>E100*5.5</x:f>
        <x:v>9900</x:v>
      </x:c>
      <x:c r="O100" s="22" t="n">
        <x:f>E100*7.5</x:f>
        <x:v>13500</x:v>
      </x:c>
      <x:c r="P100" s="22" t="n">
        <x:f>E100*9.5</x:f>
        <x:v>17100</x:v>
      </x:c>
      <x:c r="Q100" s="18" t="str">
        <x:v>Тигр, Евфрат и плотное орошаемое ядро</x:v>
      </x:c>
      <x:c r="R100" s="18" t="str">
        <x:v>Проектный профиль v1</x:v>
      </x:c>
      <x:c r="S100" s="18" t="str">
        <x:v>Экспертная классификация проекта</x:v>
      </x:c>
    </x:row>
    <x:row r="101">
      <x:c r="A101" s="18" t="str">
        <x:v>Хиджаз</x:v>
      </x:c>
      <x:c r="B101" s="18" t="str">
        <x:v>Аравия</x:v>
      </x:c>
      <x:c r="C101" s="18" t="str">
        <x:v>Азия</x:v>
      </x:c>
      <x:c r="D101" s="18" t="str">
        <x:v>P5</x:v>
      </x:c>
      <x:c r="E101" s="22" t="n">
        <x:v>7000</x:v>
      </x:c>
      <x:c r="F101" s="22" t="n">
        <x:v>1</x:v>
      </x:c>
      <x:c r="G101" s="22" t="n">
        <x:v>12</x:v>
      </x:c>
      <x:c r="H101" s="22" t="n">
        <x:v>0.6</x:v>
      </x:c>
      <x:c r="I101" s="22" t="n">
        <x:v>1.15</x:v>
      </x:c>
      <x:c r="J101" s="22" t="n">
        <x:f>E101*1.5</x:f>
        <x:v>10500</x:v>
      </x:c>
      <x:c r="K101" s="22" t="n">
        <x:f>E101*2.5</x:f>
        <x:v>17500</x:v>
      </x:c>
      <x:c r="L101" s="22" t="n">
        <x:f>E101*3.5</x:f>
        <x:v>24500</x:v>
      </x:c>
      <x:c r="M101" s="22" t="n">
        <x:f>E101*4.5</x:f>
        <x:v>31500</x:v>
      </x:c>
      <x:c r="N101" s="22" t="n">
        <x:f>E101*5.5</x:f>
        <x:v>38500</x:v>
      </x:c>
      <x:c r="O101" s="22" t="n">
        <x:f>E101*7.5</x:f>
        <x:v>52500</x:v>
      </x:c>
      <x:c r="P101" s="22" t="n">
        <x:f>E101*9.5</x:f>
        <x:v>66500</x:v>
      </x:c>
      <x:c r="Q101" s="18" t="str">
        <x:v>Порты, священные города и горы</x:v>
      </x:c>
      <x:c r="R101" s="18" t="str">
        <x:v>Проектный профиль v1</x:v>
      </x:c>
      <x:c r="S101" s="18" t="str">
        <x:v>Экспертная классификация проекта</x:v>
      </x:c>
    </x:row>
    <x:row r="102">
      <x:c r="A102" s="18" t="str">
        <x:v>Йеменское нагорье</x:v>
      </x:c>
      <x:c r="B102" s="18" t="str">
        <x:v>Аравия</x:v>
      </x:c>
      <x:c r="C102" s="18" t="str">
        <x:v>Азия</x:v>
      </x:c>
      <x:c r="D102" s="18" t="str">
        <x:v>P4</x:v>
      </x:c>
      <x:c r="E102" s="22" t="n">
        <x:v>3800</x:v>
      </x:c>
      <x:c r="F102" s="22" t="n">
        <x:v>1</x:v>
      </x:c>
      <x:c r="G102" s="22" t="n">
        <x:v>14</x:v>
      </x:c>
      <x:c r="H102" s="22" t="n">
        <x:v>1</x:v>
      </x:c>
      <x:c r="I102" s="22" t="n">
        <x:v>1.3</x:v>
      </x:c>
      <x:c r="J102" s="22" t="n">
        <x:f>E102*1.5</x:f>
        <x:v>5700</x:v>
      </x:c>
      <x:c r="K102" s="22" t="n">
        <x:f>E102*2.5</x:f>
        <x:v>9500</x:v>
      </x:c>
      <x:c r="L102" s="22" t="n">
        <x:f>E102*3.5</x:f>
        <x:v>13300</x:v>
      </x:c>
      <x:c r="M102" s="22" t="n">
        <x:f>E102*4.5</x:f>
        <x:v>17100</x:v>
      </x:c>
      <x:c r="N102" s="22" t="n">
        <x:f>E102*5.5</x:f>
        <x:v>20900</x:v>
      </x:c>
      <x:c r="O102" s="22" t="n">
        <x:f>E102*7.5</x:f>
        <x:v>28500</x:v>
      </x:c>
      <x:c r="P102" s="22" t="n">
        <x:f>E102*9.5</x:f>
        <x:v>36100</x:v>
      </x:c>
      <x:c r="Q102" s="18" t="str">
        <x:v>Плотные высокогорные террасы</x:v>
      </x:c>
      <x:c r="R102" s="18" t="str">
        <x:v>Проектный профиль v1</x:v>
      </x:c>
      <x:c r="S102" s="18" t="str">
        <x:v>Экспертная классификация проекта</x:v>
      </x:c>
    </x:row>
    <x:row r="103">
      <x:c r="A103" s="18" t="str">
        <x:v>Оманское побережье</x:v>
      </x:c>
      <x:c r="B103" s="18" t="str">
        <x:v>Аравия</x:v>
      </x:c>
      <x:c r="C103" s="18" t="str">
        <x:v>Азия</x:v>
      </x:c>
      <x:c r="D103" s="18" t="str">
        <x:v>P5</x:v>
      </x:c>
      <x:c r="E103" s="22" t="n">
        <x:v>6500</x:v>
      </x:c>
      <x:c r="F103" s="22" t="n">
        <x:v>1</x:v>
      </x:c>
      <x:c r="G103" s="22" t="n">
        <x:v>12</x:v>
      </x:c>
      <x:c r="H103" s="22" t="n">
        <x:v>0.65</x:v>
      </x:c>
      <x:c r="I103" s="22" t="n">
        <x:v>1.2</x:v>
      </x:c>
      <x:c r="J103" s="22" t="n">
        <x:f>E103*1.5</x:f>
        <x:v>9750</x:v>
      </x:c>
      <x:c r="K103" s="22" t="n">
        <x:f>E103*2.5</x:f>
        <x:v>16250</x:v>
      </x:c>
      <x:c r="L103" s="22" t="n">
        <x:f>E103*3.5</x:f>
        <x:v>22750</x:v>
      </x:c>
      <x:c r="M103" s="22" t="n">
        <x:f>E103*4.5</x:f>
        <x:v>29250</x:v>
      </x:c>
      <x:c r="N103" s="22" t="n">
        <x:f>E103*5.5</x:f>
        <x:v>35750</x:v>
      </x:c>
      <x:c r="O103" s="22" t="n">
        <x:f>E103*7.5</x:f>
        <x:v>48750</x:v>
      </x:c>
      <x:c r="P103" s="22" t="n">
        <x:f>E103*9.5</x:f>
        <x:v>61750</x:v>
      </x:c>
      <x:c r="Q103" s="18" t="str">
        <x:v>Порты, горы и оазисы</x:v>
      </x:c>
      <x:c r="R103" s="18" t="str">
        <x:v>Проектный профиль v1</x:v>
      </x:c>
      <x:c r="S103" s="18" t="str">
        <x:v>Экспертная классификация проекта</x:v>
      </x:c>
    </x:row>
    <x:row r="104">
      <x:c r="A104" s="18" t="str">
        <x:v>Персидский залив — побережье</x:v>
      </x:c>
      <x:c r="B104" s="18" t="str">
        <x:v>Аравия</x:v>
      </x:c>
      <x:c r="C104" s="18" t="str">
        <x:v>Азия</x:v>
      </x:c>
      <x:c r="D104" s="18" t="str">
        <x:v>P5</x:v>
      </x:c>
      <x:c r="E104" s="22" t="n">
        <x:v>6000</x:v>
      </x:c>
      <x:c r="F104" s="22" t="n">
        <x:v>1</x:v>
      </x:c>
      <x:c r="G104" s="22" t="n">
        <x:v>12</x:v>
      </x:c>
      <x:c r="H104" s="22" t="n">
        <x:v>0.75</x:v>
      </x:c>
      <x:c r="I104" s="22" t="n">
        <x:v>1.1</x:v>
      </x:c>
      <x:c r="J104" s="22" t="n">
        <x:f>E104*1.5</x:f>
        <x:v>9000</x:v>
      </x:c>
      <x:c r="K104" s="22" t="n">
        <x:f>E104*2.5</x:f>
        <x:v>15000</x:v>
      </x:c>
      <x:c r="L104" s="22" t="n">
        <x:f>E104*3.5</x:f>
        <x:v>21000</x:v>
      </x:c>
      <x:c r="M104" s="22" t="n">
        <x:f>E104*4.5</x:f>
        <x:v>27000</x:v>
      </x:c>
      <x:c r="N104" s="22" t="n">
        <x:f>E104*5.5</x:f>
        <x:v>33000</x:v>
      </x:c>
      <x:c r="O104" s="22" t="n">
        <x:f>E104*7.5</x:f>
        <x:v>45000</x:v>
      </x:c>
      <x:c r="P104" s="22" t="n">
        <x:f>E104*9.5</x:f>
        <x:v>57000</x:v>
      </x:c>
      <x:c r="Q104" s="18" t="str">
        <x:v>Порты и оазисные полосы</x:v>
      </x:c>
      <x:c r="R104" s="18" t="str">
        <x:v>Проектный профиль v1</x:v>
      </x:c>
      <x:c r="S104" s="18" t="str">
        <x:v>Экспертная классификация проекта</x:v>
      </x:c>
    </x:row>
    <x:row r="105">
      <x:c r="A105" s="18" t="str">
        <x:v>Внутренняя Аравия</x:v>
      </x:c>
      <x:c r="B105" s="18" t="str">
        <x:v>Аравия</x:v>
      </x:c>
      <x:c r="C105" s="18" t="str">
        <x:v>Азия</x:v>
      </x:c>
      <x:c r="D105" s="18" t="str">
        <x:v>P8</x:v>
      </x:c>
      <x:c r="E105" s="22" t="n">
        <x:v>60000</x:v>
      </x:c>
      <x:c r="F105" s="22" t="n">
        <x:v>1</x:v>
      </x:c>
      <x:c r="G105" s="22" t="n">
        <x:v>10</x:v>
      </x:c>
      <x:c r="H105" s="22" t="n">
        <x:v>0.08</x:v>
      </x:c>
      <x:c r="I105" s="22" t="n">
        <x:v>0.95</x:v>
      </x:c>
      <x:c r="J105" s="22" t="n">
        <x:f>E105*1.5</x:f>
        <x:v>90000</x:v>
      </x:c>
      <x:c r="K105" s="22" t="n">
        <x:f>E105*2.5</x:f>
        <x:v>150000</x:v>
      </x:c>
      <x:c r="L105" s="22" t="n">
        <x:f>E105*3.5</x:f>
        <x:v>210000</x:v>
      </x:c>
      <x:c r="M105" s="22" t="n">
        <x:f>E105*4.5</x:f>
        <x:v>270000</x:v>
      </x:c>
      <x:c r="N105" s="22" t="n">
        <x:f>E105*5.5</x:f>
        <x:v>330000</x:v>
      </x:c>
      <x:c r="O105" s="22" t="n">
        <x:f>E105*7.5</x:f>
        <x:v>450000</x:v>
      </x:c>
      <x:c r="P105" s="22" t="n">
        <x:f>E105*9.5</x:f>
        <x:v>570000</x:v>
      </x:c>
      <x:c r="Q105" s="18" t="str">
        <x:v>Пустыня; редкие оазисные исключения</x:v>
      </x:c>
      <x:c r="R105" s="18" t="str">
        <x:v>Проектный профиль v1</x:v>
      </x:c>
      <x:c r="S105" s="18" t="str">
        <x:v>Экспертная классификация проекта</x:v>
      </x:c>
    </x:row>
    <x:row r="106">
      <x:c r="A106" s="18" t="str">
        <x:v>Фарс и Хузестан</x:v>
      </x:c>
      <x:c r="B106" s="18" t="str">
        <x:v>Иран</x:v>
      </x:c>
      <x:c r="C106" s="18" t="str">
        <x:v>Азия</x:v>
      </x:c>
      <x:c r="D106" s="18" t="str">
        <x:v>P4</x:v>
      </x:c>
      <x:c r="E106" s="22" t="n">
        <x:v>4200</x:v>
      </x:c>
      <x:c r="F106" s="22" t="n">
        <x:v>1</x:v>
      </x:c>
      <x:c r="G106" s="22" t="n">
        <x:v>14</x:v>
      </x:c>
      <x:c r="H106" s="22" t="n">
        <x:v>1</x:v>
      </x:c>
      <x:c r="I106" s="22" t="n">
        <x:v>1.15</x:v>
      </x:c>
      <x:c r="J106" s="22" t="n">
        <x:f>E106*1.5</x:f>
        <x:v>6300</x:v>
      </x:c>
      <x:c r="K106" s="22" t="n">
        <x:f>E106*2.5</x:f>
        <x:v>10500</x:v>
      </x:c>
      <x:c r="L106" s="22" t="n">
        <x:f>E106*3.5</x:f>
        <x:v>14700</x:v>
      </x:c>
      <x:c r="M106" s="22" t="n">
        <x:f>E106*4.5</x:f>
        <x:v>18900</x:v>
      </x:c>
      <x:c r="N106" s="22" t="n">
        <x:f>E106*5.5</x:f>
        <x:v>23100</x:v>
      </x:c>
      <x:c r="O106" s="22" t="n">
        <x:f>E106*7.5</x:f>
        <x:v>31500</x:v>
      </x:c>
      <x:c r="P106" s="22" t="n">
        <x:f>E106*9.5</x:f>
        <x:v>39900</x:v>
      </x:c>
      <x:c r="Q106" s="18" t="str">
        <x:v>Горные долины и равнины</x:v>
      </x:c>
      <x:c r="R106" s="18" t="str">
        <x:v>Проектный профиль v1</x:v>
      </x:c>
      <x:c r="S106" s="18" t="str">
        <x:v>Экспертная классификация проекта</x:v>
      </x:c>
    </x:row>
    <x:row r="107">
      <x:c r="A107" s="18" t="str">
        <x:v>Центральное Иранское плато</x:v>
      </x:c>
      <x:c r="B107" s="18" t="str">
        <x:v>Иран</x:v>
      </x:c>
      <x:c r="C107" s="18" t="str">
        <x:v>Азия</x:v>
      </x:c>
      <x:c r="D107" s="18" t="str">
        <x:v>P5</x:v>
      </x:c>
      <x:c r="E107" s="22" t="n">
        <x:v>7000</x:v>
      </x:c>
      <x:c r="F107" s="22" t="n">
        <x:v>1</x:v>
      </x:c>
      <x:c r="G107" s="22" t="n">
        <x:v>14</x:v>
      </x:c>
      <x:c r="H107" s="22" t="n">
        <x:v>0.65</x:v>
      </x:c>
      <x:c r="I107" s="22" t="n">
        <x:v>1.15</x:v>
      </x:c>
      <x:c r="J107" s="22" t="n">
        <x:f>E107*1.5</x:f>
        <x:v>10500</x:v>
      </x:c>
      <x:c r="K107" s="22" t="n">
        <x:f>E107*2.5</x:f>
        <x:v>17500</x:v>
      </x:c>
      <x:c r="L107" s="22" t="n">
        <x:f>E107*3.5</x:f>
        <x:v>24500</x:v>
      </x:c>
      <x:c r="M107" s="22" t="n">
        <x:f>E107*4.5</x:f>
        <x:v>31500</x:v>
      </x:c>
      <x:c r="N107" s="22" t="n">
        <x:f>E107*5.5</x:f>
        <x:v>38500</x:v>
      </x:c>
      <x:c r="O107" s="22" t="n">
        <x:f>E107*7.5</x:f>
        <x:v>52500</x:v>
      </x:c>
      <x:c r="P107" s="22" t="n">
        <x:f>E107*9.5</x:f>
        <x:v>66500</x:v>
      </x:c>
      <x:c r="Q107" s="18" t="str">
        <x:v>Бассейны, оазисы и пустыни</x:v>
      </x:c>
      <x:c r="R107" s="18" t="str">
        <x:v>Проектный профиль v1</x:v>
      </x:c>
      <x:c r="S107" s="18" t="str">
        <x:v>Экспертная классификация проекта</x:v>
      </x:c>
    </x:row>
    <x:row r="108">
      <x:c r="A108" s="18" t="str">
        <x:v>Хорасан</x:v>
      </x:c>
      <x:c r="B108" s="18" t="str">
        <x:v>Иран</x:v>
      </x:c>
      <x:c r="C108" s="18" t="str">
        <x:v>Азия</x:v>
      </x:c>
      <x:c r="D108" s="18" t="str">
        <x:v>P5</x:v>
      </x:c>
      <x:c r="E108" s="22" t="n">
        <x:v>8500</x:v>
      </x:c>
      <x:c r="F108" s="22" t="n">
        <x:v>1</x:v>
      </x:c>
      <x:c r="G108" s="22" t="n">
        <x:v>14</x:v>
      </x:c>
      <x:c r="H108" s="22" t="n">
        <x:v>0.55</x:v>
      </x:c>
      <x:c r="I108" s="22" t="n">
        <x:v>1.15</x:v>
      </x:c>
      <x:c r="J108" s="22" t="n">
        <x:f>E108*1.5</x:f>
        <x:v>12750</x:v>
      </x:c>
      <x:c r="K108" s="22" t="n">
        <x:f>E108*2.5</x:f>
        <x:v>21250</x:v>
      </x:c>
      <x:c r="L108" s="22" t="n">
        <x:f>E108*3.5</x:f>
        <x:v>29750</x:v>
      </x:c>
      <x:c r="M108" s="22" t="n">
        <x:f>E108*4.5</x:f>
        <x:v>38250</x:v>
      </x:c>
      <x:c r="N108" s="22" t="n">
        <x:f>E108*5.5</x:f>
        <x:v>46750</x:v>
      </x:c>
      <x:c r="O108" s="22" t="n">
        <x:f>E108*7.5</x:f>
        <x:v>63750</x:v>
      </x:c>
      <x:c r="P108" s="22" t="n">
        <x:f>E108*9.5</x:f>
        <x:v>80750</x:v>
      </x:c>
      <x:c r="Q108" s="18" t="str">
        <x:v>Большие сухие пространства и города-оазисы</x:v>
      </x:c>
      <x:c r="R108" s="18" t="str">
        <x:v>Проектный профиль v1</x:v>
      </x:c>
      <x:c r="S108" s="18" t="str">
        <x:v>Экспертная классификация проекта</x:v>
      </x:c>
    </x:row>
    <x:row r="109">
      <x:c r="A109" s="18" t="str">
        <x:v>Каспийское побережье</x:v>
      </x:c>
      <x:c r="B109" s="18" t="str">
        <x:v>Иран</x:v>
      </x:c>
      <x:c r="C109" s="18" t="str">
        <x:v>Азия</x:v>
      </x:c>
      <x:c r="D109" s="18" t="str">
        <x:v>P3</x:v>
      </x:c>
      <x:c r="E109" s="22" t="n">
        <x:v>2200</x:v>
      </x:c>
      <x:c r="F109" s="22" t="n">
        <x:v>1</x:v>
      </x:c>
      <x:c r="G109" s="22" t="n">
        <x:v>12</x:v>
      </x:c>
      <x:c r="H109" s="22" t="n">
        <x:v>1.2</x:v>
      </x:c>
      <x:c r="I109" s="22" t="n">
        <x:v>1.25</x:v>
      </x:c>
      <x:c r="J109" s="22" t="n">
        <x:f>E109*1.5</x:f>
        <x:v>3300</x:v>
      </x:c>
      <x:c r="K109" s="22" t="n">
        <x:f>E109*2.5</x:f>
        <x:v>5500</x:v>
      </x:c>
      <x:c r="L109" s="22" t="n">
        <x:f>E109*3.5</x:f>
        <x:v>7700</x:v>
      </x:c>
      <x:c r="M109" s="22" t="n">
        <x:f>E109*4.5</x:f>
        <x:v>9900</x:v>
      </x:c>
      <x:c r="N109" s="22" t="n">
        <x:f>E109*5.5</x:f>
        <x:v>12100</x:v>
      </x:c>
      <x:c r="O109" s="22" t="n">
        <x:f>E109*7.5</x:f>
        <x:v>16500</x:v>
      </x:c>
      <x:c r="P109" s="22" t="n">
        <x:f>E109*9.5</x:f>
        <x:v>20900</x:v>
      </x:c>
      <x:c r="Q109" s="18" t="str">
        <x:v>Узкая влажная прибрежная полоса</x:v>
      </x:c>
      <x:c r="R109" s="18" t="str">
        <x:v>Проектный профиль v1</x:v>
      </x:c>
      <x:c r="S109" s="18" t="str">
        <x:v>Экспертная классификация проекта</x:v>
      </x:c>
    </x:row>
    <x:row r="110">
      <x:c r="A110" s="18" t="str">
        <x:v>Хорезм и нижняя Амударья</x:v>
      </x:c>
      <x:c r="B110" s="18" t="str">
        <x:v>Центральная Азия</x:v>
      </x:c>
      <x:c r="C110" s="18" t="str">
        <x:v>Азия</x:v>
      </x:c>
      <x:c r="D110" s="18" t="str">
        <x:v>P4</x:v>
      </x:c>
      <x:c r="E110" s="22" t="n">
        <x:v>4500</x:v>
      </x:c>
      <x:c r="F110" s="22" t="n">
        <x:v>1</x:v>
      </x:c>
      <x:c r="G110" s="22" t="n">
        <x:v>12</x:v>
      </x:c>
      <x:c r="H110" s="22" t="n">
        <x:v>1</x:v>
      </x:c>
      <x:c r="I110" s="22" t="n">
        <x:v>1.05</x:v>
      </x:c>
      <x:c r="J110" s="22" t="n">
        <x:f>E110*1.5</x:f>
        <x:v>6750</x:v>
      </x:c>
      <x:c r="K110" s="22" t="n">
        <x:f>E110*2.5</x:f>
        <x:v>11250</x:v>
      </x:c>
      <x:c r="L110" s="22" t="n">
        <x:f>E110*3.5</x:f>
        <x:v>15750</x:v>
      </x:c>
      <x:c r="M110" s="22" t="n">
        <x:f>E110*4.5</x:f>
        <x:v>20250</x:v>
      </x:c>
      <x:c r="N110" s="22" t="n">
        <x:f>E110*5.5</x:f>
        <x:v>24750</x:v>
      </x:c>
      <x:c r="O110" s="22" t="n">
        <x:f>E110*7.5</x:f>
        <x:v>33750</x:v>
      </x:c>
      <x:c r="P110" s="22" t="n">
        <x:f>E110*9.5</x:f>
        <x:v>42750</x:v>
      </x:c>
      <x:c r="Q110" s="18" t="str">
        <x:v>Оазисная речная зона</x:v>
      </x:c>
      <x:c r="R110" s="18" t="str">
        <x:v>Проектный профиль v1</x:v>
      </x:c>
      <x:c r="S110" s="18" t="str">
        <x:v>Экспертная классификация проекта</x:v>
      </x:c>
    </x:row>
    <x:row r="111">
      <x:c r="A111" s="18" t="str">
        <x:v>Ферганская долина</x:v>
      </x:c>
      <x:c r="B111" s="18" t="str">
        <x:v>Центральная Азия</x:v>
      </x:c>
      <x:c r="C111" s="18" t="str">
        <x:v>Азия</x:v>
      </x:c>
      <x:c r="D111" s="18" t="str">
        <x:v>P2</x:v>
      </x:c>
      <x:c r="E111" s="22" t="n">
        <x:v>1300</x:v>
      </x:c>
      <x:c r="F111" s="22" t="n">
        <x:v>1</x:v>
      </x:c>
      <x:c r="G111" s="22" t="n">
        <x:v>12</x:v>
      </x:c>
      <x:c r="H111" s="22" t="n">
        <x:v>1.7</x:v>
      </x:c>
      <x:c r="I111" s="22" t="n">
        <x:v>1.2</x:v>
      </x:c>
      <x:c r="J111" s="22" t="n">
        <x:f>E111*1.5</x:f>
        <x:v>1950</x:v>
      </x:c>
      <x:c r="K111" s="22" t="n">
        <x:f>E111*2.5</x:f>
        <x:v>3250</x:v>
      </x:c>
      <x:c r="L111" s="22" t="n">
        <x:f>E111*3.5</x:f>
        <x:v>4550</x:v>
      </x:c>
      <x:c r="M111" s="22" t="n">
        <x:f>E111*4.5</x:f>
        <x:v>5850</x:v>
      </x:c>
      <x:c r="N111" s="22" t="n">
        <x:f>E111*5.5</x:f>
        <x:v>7150</x:v>
      </x:c>
      <x:c r="O111" s="22" t="n">
        <x:f>E111*7.5</x:f>
        <x:v>9750</x:v>
      </x:c>
      <x:c r="P111" s="22" t="n">
        <x:f>E111*9.5</x:f>
        <x:v>12350</x:v>
      </x:c>
      <x:c r="Q111" s="18" t="str">
        <x:v>Очень плотная историческая долина</x:v>
      </x:c>
      <x:c r="R111" s="18" t="str">
        <x:v>Проектный профиль v1</x:v>
      </x:c>
      <x:c r="S111" s="18" t="str">
        <x:v>Экспертная классификация проекта</x:v>
      </x:c>
    </x:row>
    <x:row r="112">
      <x:c r="A112" s="18" t="str">
        <x:v>Мавераннахр</x:v>
      </x:c>
      <x:c r="B112" s="18" t="str">
        <x:v>Центральная Азия</x:v>
      </x:c>
      <x:c r="C112" s="18" t="str">
        <x:v>Азия</x:v>
      </x:c>
      <x:c r="D112" s="18" t="str">
        <x:v>P4</x:v>
      </x:c>
      <x:c r="E112" s="22" t="n">
        <x:v>4200</x:v>
      </x:c>
      <x:c r="F112" s="22" t="n">
        <x:v>1</x:v>
      </x:c>
      <x:c r="G112" s="22" t="n">
        <x:v>14</x:v>
      </x:c>
      <x:c r="H112" s="22" t="n">
        <x:v>1.05</x:v>
      </x:c>
      <x:c r="I112" s="22" t="n">
        <x:v>1.05</x:v>
      </x:c>
      <x:c r="J112" s="22" t="n">
        <x:f>E112*1.5</x:f>
        <x:v>6300</x:v>
      </x:c>
      <x:c r="K112" s="22" t="n">
        <x:f>E112*2.5</x:f>
        <x:v>10500</x:v>
      </x:c>
      <x:c r="L112" s="22" t="n">
        <x:f>E112*3.5</x:f>
        <x:v>14700</x:v>
      </x:c>
      <x:c r="M112" s="22" t="n">
        <x:f>E112*4.5</x:f>
        <x:v>18900</x:v>
      </x:c>
      <x:c r="N112" s="22" t="n">
        <x:f>E112*5.5</x:f>
        <x:v>23100</x:v>
      </x:c>
      <x:c r="O112" s="22" t="n">
        <x:f>E112*7.5</x:f>
        <x:v>31500</x:v>
      </x:c>
      <x:c r="P112" s="22" t="n">
        <x:f>E112*9.5</x:f>
        <x:v>39900</x:v>
      </x:c>
      <x:c r="Q112" s="18" t="str">
        <x:v>Оазисы Самарканда и Бухары</x:v>
      </x:c>
      <x:c r="R112" s="18" t="str">
        <x:v>Проектный профиль v1</x:v>
      </x:c>
      <x:c r="S112" s="18" t="str">
        <x:v>Экспертная классификация проекта</x:v>
      </x:c>
    </x:row>
    <x:row r="113">
      <x:c r="A113" s="18" t="str">
        <x:v>Казахская степь</x:v>
      </x:c>
      <x:c r="B113" s="18" t="str">
        <x:v>Центральная Азия</x:v>
      </x:c>
      <x:c r="C113" s="18" t="str">
        <x:v>Азия</x:v>
      </x:c>
      <x:c r="D113" s="18" t="str">
        <x:v>P6</x:v>
      </x:c>
      <x:c r="E113" s="22" t="n">
        <x:v>22000</x:v>
      </x:c>
      <x:c r="F113" s="22" t="n">
        <x:v>1</x:v>
      </x:c>
      <x:c r="G113" s="22" t="n">
        <x:v>14</x:v>
      </x:c>
      <x:c r="H113" s="22" t="n">
        <x:v>0.3</x:v>
      </x:c>
      <x:c r="I113" s="22" t="n">
        <x:v>1</x:v>
      </x:c>
      <x:c r="J113" s="22" t="n">
        <x:f>E113*1.5</x:f>
        <x:v>33000</x:v>
      </x:c>
      <x:c r="K113" s="22" t="n">
        <x:f>E113*2.5</x:f>
        <x:v>55000</x:v>
      </x:c>
      <x:c r="L113" s="22" t="n">
        <x:f>E113*3.5</x:f>
        <x:v>77000</x:v>
      </x:c>
      <x:c r="M113" s="22" t="n">
        <x:f>E113*4.5</x:f>
        <x:v>99000</x:v>
      </x:c>
      <x:c r="N113" s="22" t="n">
        <x:f>E113*5.5</x:f>
        <x:v>121000</x:v>
      </x:c>
      <x:c r="O113" s="22" t="n">
        <x:f>E113*7.5</x:f>
        <x:v>165000</x:v>
      </x:c>
      <x:c r="P113" s="22" t="n">
        <x:f>E113*9.5</x:f>
        <x:v>209000</x:v>
      </x:c>
      <x:c r="Q113" s="18" t="str">
        <x:v>Большие степные пространства</x:v>
      </x:c>
      <x:c r="R113" s="18" t="str">
        <x:v>Проектный профиль v1</x:v>
      </x:c>
      <x:c r="S113" s="18" t="str">
        <x:v>Экспертная классификация проекта</x:v>
      </x:c>
    </x:row>
    <x:row r="114">
      <x:c r="A114" s="18" t="str">
        <x:v>Туркменские пустыни</x:v>
      </x:c>
      <x:c r="B114" s="18" t="str">
        <x:v>Центральная Азия</x:v>
      </x:c>
      <x:c r="C114" s="18" t="str">
        <x:v>Азия</x:v>
      </x:c>
      <x:c r="D114" s="18" t="str">
        <x:v>P7</x:v>
      </x:c>
      <x:c r="E114" s="22" t="n">
        <x:v>45000</x:v>
      </x:c>
      <x:c r="F114" s="22" t="n">
        <x:v>1</x:v>
      </x:c>
      <x:c r="G114" s="22" t="n">
        <x:v>10</x:v>
      </x:c>
      <x:c r="H114" s="22" t="n">
        <x:v>0.15</x:v>
      </x:c>
      <x:c r="I114" s="22" t="n">
        <x:v>1</x:v>
      </x:c>
      <x:c r="J114" s="22" t="n">
        <x:f>E114*1.5</x:f>
        <x:v>67500</x:v>
      </x:c>
      <x:c r="K114" s="22" t="n">
        <x:f>E114*2.5</x:f>
        <x:v>112500</x:v>
      </x:c>
      <x:c r="L114" s="22" t="n">
        <x:f>E114*3.5</x:f>
        <x:v>157500</x:v>
      </x:c>
      <x:c r="M114" s="22" t="n">
        <x:f>E114*4.5</x:f>
        <x:v>202500</x:v>
      </x:c>
      <x:c r="N114" s="22" t="n">
        <x:f>E114*5.5</x:f>
        <x:v>247500</x:v>
      </x:c>
      <x:c r="O114" s="22" t="n">
        <x:f>E114*7.5</x:f>
        <x:v>337500</x:v>
      </x:c>
      <x:c r="P114" s="22" t="n">
        <x:f>E114*9.5</x:f>
        <x:v>427500</x:v>
      </x:c>
      <x:c r="Q114" s="18" t="str">
        <x:v>Пустыни и редкие маршруты</x:v>
      </x:c>
      <x:c r="R114" s="18" t="str">
        <x:v>Проектный профиль v1</x:v>
      </x:c>
      <x:c r="S114" s="18" t="str">
        <x:v>Экспертная классификация проекта</x:v>
      </x:c>
    </x:row>
    <x:row r="115">
      <x:c r="A115" s="18" t="str">
        <x:v>Тянь-Шань</x:v>
      </x:c>
      <x:c r="B115" s="18" t="str">
        <x:v>Центральная Азия</x:v>
      </x:c>
      <x:c r="C115" s="18" t="str">
        <x:v>Азия</x:v>
      </x:c>
      <x:c r="D115" s="18" t="str">
        <x:v>P6</x:v>
      </x:c>
      <x:c r="E115" s="22" t="n">
        <x:v>14000</x:v>
      </x:c>
      <x:c r="F115" s="22" t="n">
        <x:v>1</x:v>
      </x:c>
      <x:c r="G115" s="22" t="n">
        <x:v>12</x:v>
      </x:c>
      <x:c r="H115" s="22" t="n">
        <x:v>0.35</x:v>
      </x:c>
      <x:c r="I115" s="22" t="n">
        <x:v>1.35</x:v>
      </x:c>
      <x:c r="J115" s="22" t="n">
        <x:f>E115*1.5</x:f>
        <x:v>21000</x:v>
      </x:c>
      <x:c r="K115" s="22" t="n">
        <x:f>E115*2.5</x:f>
        <x:v>35000</x:v>
      </x:c>
      <x:c r="L115" s="22" t="n">
        <x:f>E115*3.5</x:f>
        <x:v>49000</x:v>
      </x:c>
      <x:c r="M115" s="22" t="n">
        <x:f>E115*4.5</x:f>
        <x:v>63000</x:v>
      </x:c>
      <x:c r="N115" s="22" t="n">
        <x:f>E115*5.5</x:f>
        <x:v>77000</x:v>
      </x:c>
      <x:c r="O115" s="22" t="n">
        <x:f>E115*7.5</x:f>
        <x:v>105000</x:v>
      </x:c>
      <x:c r="P115" s="22" t="n">
        <x:f>E115*9.5</x:f>
        <x:v>133000</x:v>
      </x:c>
      <x:c r="Q115" s="18" t="str">
        <x:v>Горные долины и перевалы</x:v>
      </x:c>
      <x:c r="R115" s="18" t="str">
        <x:v>Проектный профиль v1</x:v>
      </x:c>
      <x:c r="S115" s="18" t="str">
        <x:v>Экспертная классификация проекта</x:v>
      </x:c>
    </x:row>
    <x:row r="116">
      <x:c r="A116" s="18" t="str">
        <x:v>Памир</x:v>
      </x:c>
      <x:c r="B116" s="18" t="str">
        <x:v>Центральная Азия</x:v>
      </x:c>
      <x:c r="C116" s="18" t="str">
        <x:v>Азия</x:v>
      </x:c>
      <x:c r="D116" s="18" t="str">
        <x:v>P7</x:v>
      </x:c>
      <x:c r="E116" s="22" t="n">
        <x:v>30000</x:v>
      </x:c>
      <x:c r="F116" s="22" t="n">
        <x:v>1</x:v>
      </x:c>
      <x:c r="G116" s="22" t="n">
        <x:v>10</x:v>
      </x:c>
      <x:c r="H116" s="22" t="n">
        <x:v>0.15</x:v>
      </x:c>
      <x:c r="I116" s="22" t="n">
        <x:v>1.4</x:v>
      </x:c>
      <x:c r="J116" s="22" t="n">
        <x:f>E116*1.5</x:f>
        <x:v>45000</x:v>
      </x:c>
      <x:c r="K116" s="22" t="n">
        <x:f>E116*2.5</x:f>
        <x:v>75000</x:v>
      </x:c>
      <x:c r="L116" s="22" t="n">
        <x:f>E116*3.5</x:f>
        <x:v>105000</x:v>
      </x:c>
      <x:c r="M116" s="22" t="n">
        <x:f>E116*4.5</x:f>
        <x:v>135000</x:v>
      </x:c>
      <x:c r="N116" s="22" t="n">
        <x:f>E116*5.5</x:f>
        <x:v>165000</x:v>
      </x:c>
      <x:c r="O116" s="22" t="n">
        <x:f>E116*7.5</x:f>
        <x:v>225000</x:v>
      </x:c>
      <x:c r="P116" s="22" t="n">
        <x:f>E116*9.5</x:f>
        <x:v>285000</x:v>
      </x:c>
      <x:c r="Q116" s="18" t="str">
        <x:v>Высокогорье и изолированные долины</x:v>
      </x:c>
      <x:c r="R116" s="18" t="str">
        <x:v>Проектный профиль v1</x:v>
      </x:c>
      <x:c r="S116" s="18" t="str">
        <x:v>Экспертная классификация проекта</x:v>
      </x:c>
    </x:row>
    <x:row r="117">
      <x:c r="A117" s="18" t="str">
        <x:v>Южная Сибирь</x:v>
      </x:c>
      <x:c r="B117" s="18" t="str">
        <x:v>Сибирь</x:v>
      </x:c>
      <x:c r="C117" s="18" t="str">
        <x:v>Азия</x:v>
      </x:c>
      <x:c r="D117" s="18" t="str">
        <x:v>P7</x:v>
      </x:c>
      <x:c r="E117" s="22" t="n">
        <x:v>45000</x:v>
      </x:c>
      <x:c r="F117" s="22" t="n">
        <x:v>1</x:v>
      </x:c>
      <x:c r="G117" s="22" t="n">
        <x:v>14</x:v>
      </x:c>
      <x:c r="H117" s="22" t="n">
        <x:v>0.25</x:v>
      </x:c>
      <x:c r="I117" s="22" t="n">
        <x:v>1.1</x:v>
      </x:c>
      <x:c r="J117" s="22" t="n">
        <x:f>E117*1.5</x:f>
        <x:v>67500</x:v>
      </x:c>
      <x:c r="K117" s="22" t="n">
        <x:f>E117*2.5</x:f>
        <x:v>112500</x:v>
      </x:c>
      <x:c r="L117" s="22" t="n">
        <x:f>E117*3.5</x:f>
        <x:v>157500</x:v>
      </x:c>
      <x:c r="M117" s="22" t="n">
        <x:f>E117*4.5</x:f>
        <x:v>202500</x:v>
      </x:c>
      <x:c r="N117" s="22" t="n">
        <x:f>E117*5.5</x:f>
        <x:v>247500</x:v>
      </x:c>
      <x:c r="O117" s="22" t="n">
        <x:f>E117*7.5</x:f>
        <x:v>337500</x:v>
      </x:c>
      <x:c r="P117" s="22" t="n">
        <x:f>E117*9.5</x:f>
        <x:v>427500</x:v>
      </x:c>
      <x:c r="Q117" s="18" t="str">
        <x:v>Речные долины и населённый южный пояс</x:v>
      </x:c>
      <x:c r="R117" s="18" t="str">
        <x:v>Проектный профиль v1</x:v>
      </x:c>
      <x:c r="S117" s="18" t="str">
        <x:v>Экспертная классификация проекта</x:v>
      </x:c>
    </x:row>
    <x:row r="118">
      <x:c r="A118" s="18" t="str">
        <x:v>Западносибирская тайга</x:v>
      </x:c>
      <x:c r="B118" s="18" t="str">
        <x:v>Сибирь</x:v>
      </x:c>
      <x:c r="C118" s="18" t="str">
        <x:v>Азия</x:v>
      </x:c>
      <x:c r="D118" s="18" t="str">
        <x:v>P8</x:v>
      </x:c>
      <x:c r="E118" s="22" t="n">
        <x:v>100000</x:v>
      </x:c>
      <x:c r="F118" s="22" t="n">
        <x:v>1</x:v>
      </x:c>
      <x:c r="G118" s="22" t="n">
        <x:v>12</x:v>
      </x:c>
      <x:c r="H118" s="22" t="n">
        <x:v>0.1</x:v>
      </x:c>
      <x:c r="I118" s="22" t="n">
        <x:v>1</x:v>
      </x:c>
      <x:c r="J118" s="22" t="n">
        <x:f>E118*1.5</x:f>
        <x:v>150000</x:v>
      </x:c>
      <x:c r="K118" s="22" t="n">
        <x:f>E118*2.5</x:f>
        <x:v>250000</x:v>
      </x:c>
      <x:c r="L118" s="22" t="n">
        <x:f>E118*3.5</x:f>
        <x:v>350000</x:v>
      </x:c>
      <x:c r="M118" s="22" t="n">
        <x:f>E118*4.5</x:f>
        <x:v>450000</x:v>
      </x:c>
      <x:c r="N118" s="22" t="n">
        <x:f>E118*5.5</x:f>
        <x:v>550000</x:v>
      </x:c>
      <x:c r="O118" s="22" t="n">
        <x:f>E118*7.5</x:f>
        <x:v>750000</x:v>
      </x:c>
      <x:c r="P118" s="22" t="n">
        <x:f>E118*9.5</x:f>
        <x:v>950000</x:v>
      </x:c>
      <x:c r="Q118" s="18" t="str">
        <x:v>Болота, тайга и огромные расстояния</x:v>
      </x:c>
      <x:c r="R118" s="18" t="str">
        <x:v>Проектный профиль v1</x:v>
      </x:c>
      <x:c r="S118" s="18" t="str">
        <x:v>Экспертная классификация проекта</x:v>
      </x:c>
    </x:row>
    <x:row r="119">
      <x:c r="A119" s="18" t="str">
        <x:v>Центральная сибирская тайга</x:v>
      </x:c>
      <x:c r="B119" s="18" t="str">
        <x:v>Сибирь</x:v>
      </x:c>
      <x:c r="C119" s="18" t="str">
        <x:v>Азия</x:v>
      </x:c>
      <x:c r="D119" s="18" t="str">
        <x:v>P8</x:v>
      </x:c>
      <x:c r="E119" s="22" t="n">
        <x:v>150000</x:v>
      </x:c>
      <x:c r="F119" s="22" t="n">
        <x:v>1</x:v>
      </x:c>
      <x:c r="G119" s="22" t="n">
        <x:v>12</x:v>
      </x:c>
      <x:c r="H119" s="22" t="n">
        <x:v>0.08</x:v>
      </x:c>
      <x:c r="I119" s="22" t="n">
        <x:v>1</x:v>
      </x:c>
      <x:c r="J119" s="22" t="n">
        <x:f>E119*1.5</x:f>
        <x:v>225000</x:v>
      </x:c>
      <x:c r="K119" s="22" t="n">
        <x:f>E119*2.5</x:f>
        <x:v>375000</x:v>
      </x:c>
      <x:c r="L119" s="22" t="n">
        <x:f>E119*3.5</x:f>
        <x:v>525000</x:v>
      </x:c>
      <x:c r="M119" s="22" t="n">
        <x:f>E119*4.5</x:f>
        <x:v>675000</x:v>
      </x:c>
      <x:c r="N119" s="22" t="n">
        <x:f>E119*5.5</x:f>
        <x:v>825000</x:v>
      </x:c>
      <x:c r="O119" s="22" t="n">
        <x:f>E119*7.5</x:f>
        <x:v>1125000</x:v>
      </x:c>
      <x:c r="P119" s="22" t="n">
        <x:f>E119*9.5</x:f>
        <x:v>1425000</x:v>
      </x:c>
      <x:c r="Q119" s="18" t="str">
        <x:v>Гигантские клетки; локально мельче по Енисею</x:v>
      </x:c>
      <x:c r="R119" s="18" t="str">
        <x:v>Проектный профиль v1</x:v>
      </x:c>
      <x:c r="S119" s="18" t="str">
        <x:v>Экспертная классификация проекта</x:v>
      </x:c>
    </x:row>
    <x:row r="120">
      <x:c r="A120" s="18" t="str">
        <x:v>Якутия</x:v>
      </x:c>
      <x:c r="B120" s="18" t="str">
        <x:v>Сибирь</x:v>
      </x:c>
      <x:c r="C120" s="18" t="str">
        <x:v>Азия</x:v>
      </x:c>
      <x:c r="D120" s="18" t="str">
        <x:v>P8</x:v>
      </x:c>
      <x:c r="E120" s="22" t="n">
        <x:v>180000</x:v>
      </x:c>
      <x:c r="F120" s="22" t="n">
        <x:v>1</x:v>
      </x:c>
      <x:c r="G120" s="22" t="n">
        <x:v>12</x:v>
      </x:c>
      <x:c r="H120" s="22" t="n">
        <x:v>0.05</x:v>
      </x:c>
      <x:c r="I120" s="22" t="n">
        <x:v>1.05</x:v>
      </x:c>
      <x:c r="J120" s="22" t="n">
        <x:f>E120*1.5</x:f>
        <x:v>270000</x:v>
      </x:c>
      <x:c r="K120" s="22" t="n">
        <x:f>E120*2.5</x:f>
        <x:v>450000</x:v>
      </x:c>
      <x:c r="L120" s="22" t="n">
        <x:f>E120*3.5</x:f>
        <x:v>630000</x:v>
      </x:c>
      <x:c r="M120" s="22" t="n">
        <x:f>E120*4.5</x:f>
        <x:v>810000</x:v>
      </x:c>
      <x:c r="N120" s="22" t="n">
        <x:f>E120*5.5</x:f>
        <x:v>990000</x:v>
      </x:c>
      <x:c r="O120" s="22" t="n">
        <x:f>E120*7.5</x:f>
        <x:v>1350000</x:v>
      </x:c>
      <x:c r="P120" s="22" t="n">
        <x:f>E120*9.5</x:f>
        <x:v>1710000</x:v>
      </x:c>
      <x:c r="Q120" s="18" t="str">
        <x:v>Крайне редкая тайга и тундра</x:v>
      </x:c>
      <x:c r="R120" s="18" t="str">
        <x:v>Проектный профиль v1</x:v>
      </x:c>
      <x:c r="S120" s="18" t="str">
        <x:v>Экспертная классификация проекта</x:v>
      </x:c>
    </x:row>
    <x:row r="121">
      <x:c r="A121" s="18" t="str">
        <x:v>Арктическая Сибирь</x:v>
      </x:c>
      <x:c r="B121" s="18" t="str">
        <x:v>Сибирь</x:v>
      </x:c>
      <x:c r="C121" s="18" t="str">
        <x:v>Азия</x:v>
      </x:c>
      <x:c r="D121" s="18" t="str">
        <x:v>P8</x:v>
      </x:c>
      <x:c r="E121" s="22" t="n">
        <x:v>220000</x:v>
      </x:c>
      <x:c r="F121" s="22" t="n">
        <x:v>1</x:v>
      </x:c>
      <x:c r="G121" s="22" t="n">
        <x:v>10</x:v>
      </x:c>
      <x:c r="H121" s="22" t="n">
        <x:v>0.03</x:v>
      </x:c>
      <x:c r="I121" s="22" t="n">
        <x:v>1</x:v>
      </x:c>
      <x:c r="J121" s="22" t="n">
        <x:f>E121*1.5</x:f>
        <x:v>330000</x:v>
      </x:c>
      <x:c r="K121" s="22" t="n">
        <x:f>E121*2.5</x:f>
        <x:v>550000</x:v>
      </x:c>
      <x:c r="L121" s="22" t="n">
        <x:f>E121*3.5</x:f>
        <x:v>770000</x:v>
      </x:c>
      <x:c r="M121" s="22" t="n">
        <x:f>E121*4.5</x:f>
        <x:v>990000</x:v>
      </x:c>
      <x:c r="N121" s="22" t="n">
        <x:f>E121*5.5</x:f>
        <x:v>1210000</x:v>
      </x:c>
      <x:c r="O121" s="22" t="n">
        <x:f>E121*7.5</x:f>
        <x:v>1650000</x:v>
      </x:c>
      <x:c r="P121" s="22" t="n">
        <x:f>E121*9.5</x:f>
        <x:v>2090000</x:v>
      </x:c>
      <x:c r="Q121" s="18" t="str">
        <x:v>Крайне редкая тундра</x:v>
      </x:c>
      <x:c r="R121" s="18" t="str">
        <x:v>Проектный профиль v1</x:v>
      </x:c>
      <x:c r="S121" s="18" t="str">
        <x:v>Экспертная классификация проекта</x:v>
      </x:c>
    </x:row>
    <x:row r="122">
      <x:c r="A122" s="18" t="str">
        <x:v>Прибайкалье</x:v>
      </x:c>
      <x:c r="B122" s="18" t="str">
        <x:v>Сибирь</x:v>
      </x:c>
      <x:c r="C122" s="18" t="str">
        <x:v>Азия</x:v>
      </x:c>
      <x:c r="D122" s="18" t="str">
        <x:v>P7</x:v>
      </x:c>
      <x:c r="E122" s="22" t="n">
        <x:v>35000</x:v>
      </x:c>
      <x:c r="F122" s="22" t="n">
        <x:v>1</x:v>
      </x:c>
      <x:c r="G122" s="22" t="n">
        <x:v>14</x:v>
      </x:c>
      <x:c r="H122" s="22" t="n">
        <x:v>0.25</x:v>
      </x:c>
      <x:c r="I122" s="22" t="n">
        <x:v>1.25</x:v>
      </x:c>
      <x:c r="J122" s="22" t="n">
        <x:f>E122*1.5</x:f>
        <x:v>52500</x:v>
      </x:c>
      <x:c r="K122" s="22" t="n">
        <x:f>E122*2.5</x:f>
        <x:v>87500</x:v>
      </x:c>
      <x:c r="L122" s="22" t="n">
        <x:f>E122*3.5</x:f>
        <x:v>122500</x:v>
      </x:c>
      <x:c r="M122" s="22" t="n">
        <x:f>E122*4.5</x:f>
        <x:v>157500</x:v>
      </x:c>
      <x:c r="N122" s="22" t="n">
        <x:f>E122*5.5</x:f>
        <x:v>192500</x:v>
      </x:c>
      <x:c r="O122" s="22" t="n">
        <x:f>E122*7.5</x:f>
        <x:v>262500</x:v>
      </x:c>
      <x:c r="P122" s="22" t="n">
        <x:f>E122*9.5</x:f>
        <x:v>332500</x:v>
      </x:c>
      <x:c r="Q122" s="18" t="str">
        <x:v>Озеро, горы и населённые долины</x:v>
      </x:c>
      <x:c r="R122" s="18" t="str">
        <x:v>Проектный профиль v1</x:v>
      </x:c>
      <x:c r="S122" s="18" t="str">
        <x:v>Экспертная классификация проекта</x:v>
      </x:c>
    </x:row>
    <x:row r="123">
      <x:c r="A123" s="18" t="str">
        <x:v>Забайкалье</x:v>
      </x:c>
      <x:c r="B123" s="18" t="str">
        <x:v>Сибирь</x:v>
      </x:c>
      <x:c r="C123" s="18" t="str">
        <x:v>Азия</x:v>
      </x:c>
      <x:c r="D123" s="18" t="str">
        <x:v>P7</x:v>
      </x:c>
      <x:c r="E123" s="22" t="n">
        <x:v>45000</x:v>
      </x:c>
      <x:c r="F123" s="22" t="n">
        <x:v>1</x:v>
      </x:c>
      <x:c r="G123" s="22" t="n">
        <x:v>14</x:v>
      </x:c>
      <x:c r="H123" s="22" t="n">
        <x:v>0.2</x:v>
      </x:c>
      <x:c r="I123" s="22" t="n">
        <x:v>1.2</x:v>
      </x:c>
      <x:c r="J123" s="22" t="n">
        <x:f>E123*1.5</x:f>
        <x:v>67500</x:v>
      </x:c>
      <x:c r="K123" s="22" t="n">
        <x:f>E123*2.5</x:f>
        <x:v>112500</x:v>
      </x:c>
      <x:c r="L123" s="22" t="n">
        <x:f>E123*3.5</x:f>
        <x:v>157500</x:v>
      </x:c>
      <x:c r="M123" s="22" t="n">
        <x:f>E123*4.5</x:f>
        <x:v>202500</x:v>
      </x:c>
      <x:c r="N123" s="22" t="n">
        <x:f>E123*5.5</x:f>
        <x:v>247500</x:v>
      </x:c>
      <x:c r="O123" s="22" t="n">
        <x:f>E123*7.5</x:f>
        <x:v>337500</x:v>
      </x:c>
      <x:c r="P123" s="22" t="n">
        <x:f>E123*9.5</x:f>
        <x:v>427500</x:v>
      </x:c>
      <x:c r="Q123" s="18" t="str">
        <x:v>Степь, тайга и горы</x:v>
      </x:c>
      <x:c r="R123" s="18" t="str">
        <x:v>Проектный профиль v1</x:v>
      </x:c>
      <x:c r="S123" s="18" t="str">
        <x:v>Экспертная классификация проекта</x:v>
      </x:c>
    </x:row>
    <x:row r="124">
      <x:c r="A124" s="18" t="str">
        <x:v>Амур и Приморье</x:v>
      </x:c>
      <x:c r="B124" s="18" t="str">
        <x:v>Дальний Восток</x:v>
      </x:c>
      <x:c r="C124" s="18" t="str">
        <x:v>Азия</x:v>
      </x:c>
      <x:c r="D124" s="18" t="str">
        <x:v>P6</x:v>
      </x:c>
      <x:c r="E124" s="22" t="n">
        <x:v>18000</x:v>
      </x:c>
      <x:c r="F124" s="22" t="n">
        <x:v>1</x:v>
      </x:c>
      <x:c r="G124" s="22" t="n">
        <x:v>14</x:v>
      </x:c>
      <x:c r="H124" s="22" t="n">
        <x:v>0.45</x:v>
      </x:c>
      <x:c r="I124" s="22" t="n">
        <x:v>1.25</x:v>
      </x:c>
      <x:c r="J124" s="22" t="n">
        <x:f>E124*1.5</x:f>
        <x:v>27000</x:v>
      </x:c>
      <x:c r="K124" s="22" t="n">
        <x:f>E124*2.5</x:f>
        <x:v>45000</x:v>
      </x:c>
      <x:c r="L124" s="22" t="n">
        <x:f>E124*3.5</x:f>
        <x:v>63000</x:v>
      </x:c>
      <x:c r="M124" s="22" t="n">
        <x:f>E124*4.5</x:f>
        <x:v>81000</x:v>
      </x:c>
      <x:c r="N124" s="22" t="n">
        <x:f>E124*5.5</x:f>
        <x:v>99000</x:v>
      </x:c>
      <x:c r="O124" s="22" t="n">
        <x:f>E124*7.5</x:f>
        <x:v>135000</x:v>
      </x:c>
      <x:c r="P124" s="22" t="n">
        <x:f>E124*9.5</x:f>
        <x:v>171000</x:v>
      </x:c>
      <x:c r="Q124" s="18" t="str">
        <x:v>Реки, побережье и горные цепи</x:v>
      </x:c>
      <x:c r="R124" s="18" t="str">
        <x:v>Проектный профиль v1</x:v>
      </x:c>
      <x:c r="S124" s="18" t="str">
        <x:v>Экспертная классификация проекта</x:v>
      </x:c>
    </x:row>
    <x:row r="125">
      <x:c r="A125" s="18" t="str">
        <x:v>Камчатка и Чукотка</x:v>
      </x:c>
      <x:c r="B125" s="18" t="str">
        <x:v>Дальний Восток</x:v>
      </x:c>
      <x:c r="C125" s="18" t="str">
        <x:v>Азия</x:v>
      </x:c>
      <x:c r="D125" s="18" t="str">
        <x:v>P8</x:v>
      </x:c>
      <x:c r="E125" s="22" t="n">
        <x:v>90000</x:v>
      </x:c>
      <x:c r="F125" s="22" t="n">
        <x:v>1</x:v>
      </x:c>
      <x:c r="G125" s="22" t="n">
        <x:v>10</x:v>
      </x:c>
      <x:c r="H125" s="22" t="n">
        <x:v>0.08</x:v>
      </x:c>
      <x:c r="I125" s="22" t="n">
        <x:v>1.35</x:v>
      </x:c>
      <x:c r="J125" s="22" t="n">
        <x:f>E125*1.5</x:f>
        <x:v>135000</x:v>
      </x:c>
      <x:c r="K125" s="22" t="n">
        <x:f>E125*2.5</x:f>
        <x:v>225000</x:v>
      </x:c>
      <x:c r="L125" s="22" t="n">
        <x:f>E125*3.5</x:f>
        <x:v>315000</x:v>
      </x:c>
      <x:c r="M125" s="22" t="n">
        <x:f>E125*4.5</x:f>
        <x:v>405000</x:v>
      </x:c>
      <x:c r="N125" s="22" t="n">
        <x:f>E125*5.5</x:f>
        <x:v>495000</x:v>
      </x:c>
      <x:c r="O125" s="22" t="n">
        <x:f>E125*7.5</x:f>
        <x:v>675000</x:v>
      </x:c>
      <x:c r="P125" s="22" t="n">
        <x:f>E125*9.5</x:f>
        <x:v>855000</x:v>
      </x:c>
      <x:c r="Q125" s="18" t="str">
        <x:v>Вулканы, тундра и крайне редкое население</x:v>
      </x:c>
      <x:c r="R125" s="18" t="str">
        <x:v>Проектный профиль v1</x:v>
      </x:c>
      <x:c r="S125" s="18" t="str">
        <x:v>Экспертная классификация проекта</x:v>
      </x:c>
    </x:row>
    <x:row r="126">
      <x:c r="A126" s="18" t="str">
        <x:v>Северокитайская равнина</x:v>
      </x:c>
      <x:c r="B126" s="18" t="str">
        <x:v>Китай</x:v>
      </x:c>
      <x:c r="C126" s="18" t="str">
        <x:v>Азия</x:v>
      </x:c>
      <x:c r="D126" s="18" t="str">
        <x:v>P2</x:v>
      </x:c>
      <x:c r="E126" s="22" t="n">
        <x:v>1600</x:v>
      </x:c>
      <x:c r="F126" s="22" t="n">
        <x:v>1</x:v>
      </x:c>
      <x:c r="G126" s="22" t="n">
        <x:v>16</x:v>
      </x:c>
      <x:c r="H126" s="22" t="n">
        <x:v>1.75</x:v>
      </x:c>
      <x:c r="I126" s="22" t="n">
        <x:v>1</x:v>
      </x:c>
      <x:c r="J126" s="22" t="n">
        <x:f>E126*1.5</x:f>
        <x:v>2400</x:v>
      </x:c>
      <x:c r="K126" s="22" t="n">
        <x:f>E126*2.5</x:f>
        <x:v>4000</x:v>
      </x:c>
      <x:c r="L126" s="22" t="n">
        <x:f>E126*3.5</x:f>
        <x:v>5600</x:v>
      </x:c>
      <x:c r="M126" s="22" t="n">
        <x:f>E126*4.5</x:f>
        <x:v>7200</x:v>
      </x:c>
      <x:c r="N126" s="22" t="n">
        <x:f>E126*5.5</x:f>
        <x:v>8800</x:v>
      </x:c>
      <x:c r="O126" s="22" t="n">
        <x:f>E126*7.5</x:f>
        <x:v>12000</x:v>
      </x:c>
      <x:c r="P126" s="22" t="n">
        <x:f>E126*9.5</x:f>
        <x:v>15200</x:v>
      </x:c>
      <x:c r="Q126" s="18" t="str">
        <x:v>Очень плотная аграрная и городская сеть</x:v>
      </x:c>
      <x:c r="R126" s="18" t="str">
        <x:v>Проектный профиль v1</x:v>
      </x:c>
      <x:c r="S126" s="18" t="str">
        <x:v>Экспертная классификация проекта</x:v>
      </x:c>
    </x:row>
    <x:row r="127">
      <x:c r="A127" s="18" t="str">
        <x:v>Шаньдун</x:v>
      </x:c>
      <x:c r="B127" s="18" t="str">
        <x:v>Китай</x:v>
      </x:c>
      <x:c r="C127" s="18" t="str">
        <x:v>Азия</x:v>
      </x:c>
      <x:c r="D127" s="18" t="str">
        <x:v>P2</x:v>
      </x:c>
      <x:c r="E127" s="22" t="n">
        <x:v>1300</x:v>
      </x:c>
      <x:c r="F127" s="22" t="n">
        <x:v>1</x:v>
      </x:c>
      <x:c r="G127" s="22" t="n">
        <x:v>14</x:v>
      </x:c>
      <x:c r="H127" s="22" t="n">
        <x:v>1.8</x:v>
      </x:c>
      <x:c r="I127" s="22" t="n">
        <x:v>1.1</x:v>
      </x:c>
      <x:c r="J127" s="22" t="n">
        <x:f>E127*1.5</x:f>
        <x:v>1950</x:v>
      </x:c>
      <x:c r="K127" s="22" t="n">
        <x:f>E127*2.5</x:f>
        <x:v>3250</x:v>
      </x:c>
      <x:c r="L127" s="22" t="n">
        <x:f>E127*3.5</x:f>
        <x:v>4550</x:v>
      </x:c>
      <x:c r="M127" s="22" t="n">
        <x:f>E127*4.5</x:f>
        <x:v>5850</x:v>
      </x:c>
      <x:c r="N127" s="22" t="n">
        <x:f>E127*5.5</x:f>
        <x:v>7150</x:v>
      </x:c>
      <x:c r="O127" s="22" t="n">
        <x:f>E127*7.5</x:f>
        <x:v>9750</x:v>
      </x:c>
      <x:c r="P127" s="22" t="n">
        <x:f>E127*9.5</x:f>
        <x:v>12350</x:v>
      </x:c>
      <x:c r="Q127" s="18" t="str">
        <x:v>Плотный полуостров и порты</x:v>
      </x:c>
      <x:c r="R127" s="18" t="str">
        <x:v>Проектный профиль v1</x:v>
      </x:c>
      <x:c r="S127" s="18" t="str">
        <x:v>Экспертная классификация проекта</x:v>
      </x:c>
    </x:row>
    <x:row r="128">
      <x:c r="A128" s="18" t="str">
        <x:v>Дельта Янцзы</x:v>
      </x:c>
      <x:c r="B128" s="18" t="str">
        <x:v>Китай</x:v>
      </x:c>
      <x:c r="C128" s="18" t="str">
        <x:v>Азия</x:v>
      </x:c>
      <x:c r="D128" s="18" t="str">
        <x:v>P1</x:v>
      </x:c>
      <x:c r="E128" s="22" t="n">
        <x:v>750</x:v>
      </x:c>
      <x:c r="F128" s="22" t="n">
        <x:v>1</x:v>
      </x:c>
      <x:c r="G128" s="22" t="n">
        <x:v>12</x:v>
      </x:c>
      <x:c r="H128" s="22" t="n">
        <x:v>2.1</x:v>
      </x:c>
      <x:c r="I128" s="22" t="n">
        <x:v>1.1</x:v>
      </x:c>
      <x:c r="J128" s="22" t="n">
        <x:f>E128*1.5</x:f>
        <x:v>1125</x:v>
      </x:c>
      <x:c r="K128" s="22" t="n">
        <x:f>E128*2.5</x:f>
        <x:v>1875</x:v>
      </x:c>
      <x:c r="L128" s="22" t="n">
        <x:f>E128*3.5</x:f>
        <x:v>2625</x:v>
      </x:c>
      <x:c r="M128" s="22" t="n">
        <x:f>E128*4.5</x:f>
        <x:v>3375</x:v>
      </x:c>
      <x:c r="N128" s="22" t="n">
        <x:f>E128*5.5</x:f>
        <x:v>4125</x:v>
      </x:c>
      <x:c r="O128" s="22" t="n">
        <x:f>E128*7.5</x:f>
        <x:v>5625</x:v>
      </x:c>
      <x:c r="P128" s="22" t="n">
        <x:f>E128*9.5</x:f>
        <x:v>7125</x:v>
      </x:c>
      <x:c r="Q128" s="18" t="str">
        <x:v>Сверхплотный городской и речной регион</x:v>
      </x:c>
      <x:c r="R128" s="18" t="str">
        <x:v>Проектный профиль v1</x:v>
      </x:c>
      <x:c r="S128" s="18" t="str">
        <x:v>Экспертная классификация проекта</x:v>
      </x:c>
    </x:row>
    <x:row r="129">
      <x:c r="A129" s="18" t="str">
        <x:v>Средняя Янцзы</x:v>
      </x:c>
      <x:c r="B129" s="18" t="str">
        <x:v>Китай</x:v>
      </x:c>
      <x:c r="C129" s="18" t="str">
        <x:v>Азия</x:v>
      </x:c>
      <x:c r="D129" s="18" t="str">
        <x:v>P2</x:v>
      </x:c>
      <x:c r="E129" s="22" t="n">
        <x:v>1500</x:v>
      </x:c>
      <x:c r="F129" s="22" t="n">
        <x:v>1</x:v>
      </x:c>
      <x:c r="G129" s="22" t="n">
        <x:v>16</x:v>
      </x:c>
      <x:c r="H129" s="22" t="n">
        <x:v>1.7</x:v>
      </x:c>
      <x:c r="I129" s="22" t="n">
        <x:v>1.1</x:v>
      </x:c>
      <x:c r="J129" s="22" t="n">
        <x:f>E129*1.5</x:f>
        <x:v>2250</x:v>
      </x:c>
      <x:c r="K129" s="22" t="n">
        <x:f>E129*2.5</x:f>
        <x:v>3750</x:v>
      </x:c>
      <x:c r="L129" s="22" t="n">
        <x:f>E129*3.5</x:f>
        <x:v>5250</x:v>
      </x:c>
      <x:c r="M129" s="22" t="n">
        <x:f>E129*4.5</x:f>
        <x:v>6750</x:v>
      </x:c>
      <x:c r="N129" s="22" t="n">
        <x:f>E129*5.5</x:f>
        <x:v>8250</x:v>
      </x:c>
      <x:c r="O129" s="22" t="n">
        <x:f>E129*7.5</x:f>
        <x:v>11250</x:v>
      </x:c>
      <x:c r="P129" s="22" t="n">
        <x:f>E129*9.5</x:f>
        <x:v>14250</x:v>
      </x:c>
      <x:c r="Q129" s="18" t="str">
        <x:v>Озёра, реки и густое население</x:v>
      </x:c>
      <x:c r="R129" s="18" t="str">
        <x:v>Проектный профиль v1</x:v>
      </x:c>
      <x:c r="S129" s="18" t="str">
        <x:v>Экспертная классификация проекта</x:v>
      </x:c>
    </x:row>
    <x:row r="130">
      <x:c r="A130" s="18" t="str">
        <x:v>Сычуаньская котловина</x:v>
      </x:c>
      <x:c r="B130" s="18" t="str">
        <x:v>Китай</x:v>
      </x:c>
      <x:c r="C130" s="18" t="str">
        <x:v>Азия</x:v>
      </x:c>
      <x:c r="D130" s="18" t="str">
        <x:v>P2</x:v>
      </x:c>
      <x:c r="E130" s="22" t="n">
        <x:v>1500</x:v>
      </x:c>
      <x:c r="F130" s="22" t="n">
        <x:v>1</x:v>
      </x:c>
      <x:c r="G130" s="22" t="n">
        <x:v>16</x:v>
      </x:c>
      <x:c r="H130" s="22" t="n">
        <x:v>1.75</x:v>
      </x:c>
      <x:c r="I130" s="22" t="n">
        <x:v>1.15</x:v>
      </x:c>
      <x:c r="J130" s="22" t="n">
        <x:f>E130*1.5</x:f>
        <x:v>2250</x:v>
      </x:c>
      <x:c r="K130" s="22" t="n">
        <x:f>E130*2.5</x:f>
        <x:v>3750</x:v>
      </x:c>
      <x:c r="L130" s="22" t="n">
        <x:f>E130*3.5</x:f>
        <x:v>5250</x:v>
      </x:c>
      <x:c r="M130" s="22" t="n">
        <x:f>E130*4.5</x:f>
        <x:v>6750</x:v>
      </x:c>
      <x:c r="N130" s="22" t="n">
        <x:f>E130*5.5</x:f>
        <x:v>8250</x:v>
      </x:c>
      <x:c r="O130" s="22" t="n">
        <x:f>E130*7.5</x:f>
        <x:v>11250</x:v>
      </x:c>
      <x:c r="P130" s="22" t="n">
        <x:f>E130*9.5</x:f>
        <x:v>14250</x:v>
      </x:c>
      <x:c r="Q130" s="18" t="str">
        <x:v>Очень плотная изолированная котловина</x:v>
      </x:c>
      <x:c r="R130" s="18" t="str">
        <x:v>Проектный профиль v1</x:v>
      </x:c>
      <x:c r="S130" s="18" t="str">
        <x:v>Экспертная классификация проекта</x:v>
      </x:c>
    </x:row>
    <x:row r="131">
      <x:c r="A131" s="18" t="str">
        <x:v>Южнокитайское побережье</x:v>
      </x:c>
      <x:c r="B131" s="18" t="str">
        <x:v>Китай</x:v>
      </x:c>
      <x:c r="C131" s="18" t="str">
        <x:v>Азия</x:v>
      </x:c>
      <x:c r="D131" s="18" t="str">
        <x:v>P2</x:v>
      </x:c>
      <x:c r="E131" s="22" t="n">
        <x:v>1200</x:v>
      </x:c>
      <x:c r="F131" s="22" t="n">
        <x:v>1</x:v>
      </x:c>
      <x:c r="G131" s="22" t="n">
        <x:v>14</x:v>
      </x:c>
      <x:c r="H131" s="22" t="n">
        <x:v>1.7</x:v>
      </x:c>
      <x:c r="I131" s="22" t="n">
        <x:v>1.2</x:v>
      </x:c>
      <x:c r="J131" s="22" t="n">
        <x:f>E131*1.5</x:f>
        <x:v>1800</x:v>
      </x:c>
      <x:c r="K131" s="22" t="n">
        <x:f>E131*2.5</x:f>
        <x:v>3000</x:v>
      </x:c>
      <x:c r="L131" s="22" t="n">
        <x:f>E131*3.5</x:f>
        <x:v>4200</x:v>
      </x:c>
      <x:c r="M131" s="22" t="n">
        <x:f>E131*4.5</x:f>
        <x:v>5400</x:v>
      </x:c>
      <x:c r="N131" s="22" t="n">
        <x:f>E131*5.5</x:f>
        <x:v>6600</x:v>
      </x:c>
      <x:c r="O131" s="22" t="n">
        <x:f>E131*7.5</x:f>
        <x:v>9000</x:v>
      </x:c>
      <x:c r="P131" s="22" t="n">
        <x:f>E131*9.5</x:f>
        <x:v>11400</x:v>
      </x:c>
      <x:c r="Q131" s="18" t="str">
        <x:v>Порты, дельты и холмы</x:v>
      </x:c>
      <x:c r="R131" s="18" t="str">
        <x:v>Проектный профиль v1</x:v>
      </x:c>
      <x:c r="S131" s="18" t="str">
        <x:v>Экспертная классификация проекта</x:v>
      </x:c>
    </x:row>
    <x:row r="132">
      <x:c r="A132" s="18" t="str">
        <x:v>Юньнань и Гуйчжоу</x:v>
      </x:c>
      <x:c r="B132" s="18" t="str">
        <x:v>Китай</x:v>
      </x:c>
      <x:c r="C132" s="18" t="str">
        <x:v>Азия</x:v>
      </x:c>
      <x:c r="D132" s="18" t="str">
        <x:v>P4</x:v>
      </x:c>
      <x:c r="E132" s="22" t="n">
        <x:v>3600</x:v>
      </x:c>
      <x:c r="F132" s="22" t="n">
        <x:v>1</x:v>
      </x:c>
      <x:c r="G132" s="22" t="n">
        <x:v>16</x:v>
      </x:c>
      <x:c r="H132" s="22" t="n">
        <x:v>1</x:v>
      </x:c>
      <x:c r="I132" s="22" t="n">
        <x:v>1.3</x:v>
      </x:c>
      <x:c r="J132" s="22" t="n">
        <x:f>E132*1.5</x:f>
        <x:v>5400</x:v>
      </x:c>
      <x:c r="K132" s="22" t="n">
        <x:f>E132*2.5</x:f>
        <x:v>9000</x:v>
      </x:c>
      <x:c r="L132" s="22" t="n">
        <x:f>E132*3.5</x:f>
        <x:v>12600</x:v>
      </x:c>
      <x:c r="M132" s="22" t="n">
        <x:f>E132*4.5</x:f>
        <x:v>16200</x:v>
      </x:c>
      <x:c r="N132" s="22" t="n">
        <x:f>E132*5.5</x:f>
        <x:v>19800</x:v>
      </x:c>
      <x:c r="O132" s="22" t="n">
        <x:f>E132*7.5</x:f>
        <x:v>27000</x:v>
      </x:c>
      <x:c r="P132" s="22" t="n">
        <x:f>E132*9.5</x:f>
        <x:v>34200</x:v>
      </x:c>
      <x:c r="Q132" s="18" t="str">
        <x:v>Горные бассейны и этнокультурная дробность</x:v>
      </x:c>
      <x:c r="R132" s="18" t="str">
        <x:v>Проектный профиль v1</x:v>
      </x:c>
      <x:c r="S132" s="18" t="str">
        <x:v>Экспертная классификация проекта</x:v>
      </x:c>
    </x:row>
    <x:row r="133">
      <x:c r="A133" s="18" t="str">
        <x:v>Лёссовое плато</x:v>
      </x:c>
      <x:c r="B133" s="18" t="str">
        <x:v>Китай</x:v>
      </x:c>
      <x:c r="C133" s="18" t="str">
        <x:v>Азия</x:v>
      </x:c>
      <x:c r="D133" s="18" t="str">
        <x:v>P4</x:v>
      </x:c>
      <x:c r="E133" s="22" t="n">
        <x:v>3500</x:v>
      </x:c>
      <x:c r="F133" s="22" t="n">
        <x:v>1</x:v>
      </x:c>
      <x:c r="G133" s="22" t="n">
        <x:v>16</x:v>
      </x:c>
      <x:c r="H133" s="22" t="n">
        <x:v>1.1</x:v>
      </x:c>
      <x:c r="I133" s="22" t="n">
        <x:v>1.15</x:v>
      </x:c>
      <x:c r="J133" s="22" t="n">
        <x:f>E133*1.5</x:f>
        <x:v>5250</x:v>
      </x:c>
      <x:c r="K133" s="22" t="n">
        <x:f>E133*2.5</x:f>
        <x:v>8750</x:v>
      </x:c>
      <x:c r="L133" s="22" t="n">
        <x:f>E133*3.5</x:f>
        <x:v>12250</x:v>
      </x:c>
      <x:c r="M133" s="22" t="n">
        <x:f>E133*4.5</x:f>
        <x:v>15750</x:v>
      </x:c>
      <x:c r="N133" s="22" t="n">
        <x:f>E133*5.5</x:f>
        <x:v>19250</x:v>
      </x:c>
      <x:c r="O133" s="22" t="n">
        <x:f>E133*7.5</x:f>
        <x:v>26250</x:v>
      </x:c>
      <x:c r="P133" s="22" t="n">
        <x:f>E133*9.5</x:f>
        <x:v>33250</x:v>
      </x:c>
      <x:c r="Q133" s="18" t="str">
        <x:v>Густое земледелие и расчленённый рельеф</x:v>
      </x:c>
      <x:c r="R133" s="18" t="str">
        <x:v>Проектный профиль v1</x:v>
      </x:c>
      <x:c r="S133" s="18" t="str">
        <x:v>Экспертная классификация проекта</x:v>
      </x:c>
    </x:row>
    <x:row r="134">
      <x:c r="A134" s="18" t="str">
        <x:v>Маньчжурия</x:v>
      </x:c>
      <x:c r="B134" s="18" t="str">
        <x:v>Китай</x:v>
      </x:c>
      <x:c r="C134" s="18" t="str">
        <x:v>Азия</x:v>
      </x:c>
      <x:c r="D134" s="18" t="str">
        <x:v>P5</x:v>
      </x:c>
      <x:c r="E134" s="22" t="n">
        <x:v>8000</x:v>
      </x:c>
      <x:c r="F134" s="22" t="n">
        <x:v>1</x:v>
      </x:c>
      <x:c r="G134" s="22" t="n">
        <x:v>16</x:v>
      </x:c>
      <x:c r="H134" s="22" t="n">
        <x:v>0.75</x:v>
      </x:c>
      <x:c r="I134" s="22" t="n">
        <x:v>1.05</x:v>
      </x:c>
      <x:c r="J134" s="22" t="n">
        <x:f>E134*1.5</x:f>
        <x:v>12000</x:v>
      </x:c>
      <x:c r="K134" s="22" t="n">
        <x:f>E134*2.5</x:f>
        <x:v>20000</x:v>
      </x:c>
      <x:c r="L134" s="22" t="n">
        <x:f>E134*3.5</x:f>
        <x:v>28000</x:v>
      </x:c>
      <x:c r="M134" s="22" t="n">
        <x:f>E134*4.5</x:f>
        <x:v>36000</x:v>
      </x:c>
      <x:c r="N134" s="22" t="n">
        <x:f>E134*5.5</x:f>
        <x:v>44000</x:v>
      </x:c>
      <x:c r="O134" s="22" t="n">
        <x:f>E134*7.5</x:f>
        <x:v>60000</x:v>
      </x:c>
      <x:c r="P134" s="22" t="n">
        <x:f>E134*9.5</x:f>
        <x:v>76000</x:v>
      </x:c>
      <x:c r="Q134" s="18" t="str">
        <x:v>Крупные равнины и лесные окраины</x:v>
      </x:c>
      <x:c r="R134" s="18" t="str">
        <x:v>Проектный профиль v1</x:v>
      </x:c>
      <x:c r="S134" s="18" t="str">
        <x:v>Экспертная классификация проекта</x:v>
      </x:c>
    </x:row>
    <x:row r="135">
      <x:c r="A135" s="18" t="str">
        <x:v>Внутренняя Монголия</x:v>
      </x:c>
      <x:c r="B135" s="18" t="str">
        <x:v>Китай</x:v>
      </x:c>
      <x:c r="C135" s="18" t="str">
        <x:v>Азия</x:v>
      </x:c>
      <x:c r="D135" s="18" t="str">
        <x:v>P7</x:v>
      </x:c>
      <x:c r="E135" s="22" t="n">
        <x:v>35000</x:v>
      </x:c>
      <x:c r="F135" s="22" t="n">
        <x:v>1</x:v>
      </x:c>
      <x:c r="G135" s="22" t="n">
        <x:v>14</x:v>
      </x:c>
      <x:c r="H135" s="22" t="n">
        <x:v>0.2</x:v>
      </x:c>
      <x:c r="I135" s="22" t="n">
        <x:v>1</x:v>
      </x:c>
      <x:c r="J135" s="22" t="n">
        <x:f>E135*1.5</x:f>
        <x:v>52500</x:v>
      </x:c>
      <x:c r="K135" s="22" t="n">
        <x:f>E135*2.5</x:f>
        <x:v>87500</x:v>
      </x:c>
      <x:c r="L135" s="22" t="n">
        <x:f>E135*3.5</x:f>
        <x:v>122500</x:v>
      </x:c>
      <x:c r="M135" s="22" t="n">
        <x:f>E135*4.5</x:f>
        <x:v>157500</x:v>
      </x:c>
      <x:c r="N135" s="22" t="n">
        <x:f>E135*5.5</x:f>
        <x:v>192500</x:v>
      </x:c>
      <x:c r="O135" s="22" t="n">
        <x:f>E135*7.5</x:f>
        <x:v>262500</x:v>
      </x:c>
      <x:c r="P135" s="22" t="n">
        <x:f>E135*9.5</x:f>
        <x:v>332500</x:v>
      </x:c>
      <x:c r="Q135" s="18" t="str">
        <x:v>Степи и пустыни</x:v>
      </x:c>
      <x:c r="R135" s="18" t="str">
        <x:v>Проектный профиль v1</x:v>
      </x:c>
      <x:c r="S135" s="18" t="str">
        <x:v>Экспертная классификация проекта</x:v>
      </x:c>
    </x:row>
    <x:row r="136">
      <x:c r="A136" s="18" t="str">
        <x:v>Синьцзянские оазисы</x:v>
      </x:c>
      <x:c r="B136" s="18" t="str">
        <x:v>Китай</x:v>
      </x:c>
      <x:c r="C136" s="18" t="str">
        <x:v>Азия</x:v>
      </x:c>
      <x:c r="D136" s="18" t="str">
        <x:v>P6</x:v>
      </x:c>
      <x:c r="E136" s="22" t="n">
        <x:v>16000</x:v>
      </x:c>
      <x:c r="F136" s="22" t="n">
        <x:v>1</x:v>
      </x:c>
      <x:c r="G136" s="22" t="n">
        <x:v>14</x:v>
      </x:c>
      <x:c r="H136" s="22" t="n">
        <x:v>0.4</x:v>
      </x:c>
      <x:c r="I136" s="22" t="n">
        <x:v>1.15</x:v>
      </x:c>
      <x:c r="J136" s="22" t="n">
        <x:f>E136*1.5</x:f>
        <x:v>24000</x:v>
      </x:c>
      <x:c r="K136" s="22" t="n">
        <x:f>E136*2.5</x:f>
        <x:v>40000</x:v>
      </x:c>
      <x:c r="L136" s="22" t="n">
        <x:f>E136*3.5</x:f>
        <x:v>56000</x:v>
      </x:c>
      <x:c r="M136" s="22" t="n">
        <x:f>E136*4.5</x:f>
        <x:v>72000</x:v>
      </x:c>
      <x:c r="N136" s="22" t="n">
        <x:f>E136*5.5</x:f>
        <x:v>88000</x:v>
      </x:c>
      <x:c r="O136" s="22" t="n">
        <x:f>E136*7.5</x:f>
        <x:v>120000</x:v>
      </x:c>
      <x:c r="P136" s="22" t="n">
        <x:f>E136*9.5</x:f>
        <x:v>152000</x:v>
      </x:c>
      <x:c r="Q136" s="18" t="str">
        <x:v>Отдельные оазисные бассейны</x:v>
      </x:c>
      <x:c r="R136" s="18" t="str">
        <x:v>Проектный профиль v1</x:v>
      </x:c>
      <x:c r="S136" s="18" t="str">
        <x:v>Экспертная классификация проекта</x:v>
      </x:c>
    </x:row>
    <x:row r="137">
      <x:c r="A137" s="18" t="str">
        <x:v>Такла-Макан и Джунгария</x:v>
      </x:c>
      <x:c r="B137" s="18" t="str">
        <x:v>Китай</x:v>
      </x:c>
      <x:c r="C137" s="18" t="str">
        <x:v>Азия</x:v>
      </x:c>
      <x:c r="D137" s="18" t="str">
        <x:v>P8</x:v>
      </x:c>
      <x:c r="E137" s="22" t="n">
        <x:v>70000</x:v>
      </x:c>
      <x:c r="F137" s="22" t="n">
        <x:v>1</x:v>
      </x:c>
      <x:c r="G137" s="22" t="n">
        <x:v>10</x:v>
      </x:c>
      <x:c r="H137" s="22" t="n">
        <x:v>0.08</x:v>
      </x:c>
      <x:c r="I137" s="22" t="n">
        <x:v>1.1</x:v>
      </x:c>
      <x:c r="J137" s="22" t="n">
        <x:f>E137*1.5</x:f>
        <x:v>105000</x:v>
      </x:c>
      <x:c r="K137" s="22" t="n">
        <x:f>E137*2.5</x:f>
        <x:v>175000</x:v>
      </x:c>
      <x:c r="L137" s="22" t="n">
        <x:f>E137*3.5</x:f>
        <x:v>245000</x:v>
      </x:c>
      <x:c r="M137" s="22" t="n">
        <x:f>E137*4.5</x:f>
        <x:v>315000</x:v>
      </x:c>
      <x:c r="N137" s="22" t="n">
        <x:f>E137*5.5</x:f>
        <x:v>385000</x:v>
      </x:c>
      <x:c r="O137" s="22" t="n">
        <x:f>E137*7.5</x:f>
        <x:v>525000</x:v>
      </x:c>
      <x:c r="P137" s="22" t="n">
        <x:f>E137*9.5</x:f>
        <x:v>665000</x:v>
      </x:c>
      <x:c r="Q137" s="18" t="str">
        <x:v>Пустыни и огромные бассейны</x:v>
      </x:c>
      <x:c r="R137" s="18" t="str">
        <x:v>Проектный профиль v1</x:v>
      </x:c>
      <x:c r="S137" s="18" t="str">
        <x:v>Экспертная классификация проекта</x:v>
      </x:c>
    </x:row>
    <x:row r="138">
      <x:c r="A138" s="18" t="str">
        <x:v>Тибет</x:v>
      </x:c>
      <x:c r="B138" s="18" t="str">
        <x:v>Китай</x:v>
      </x:c>
      <x:c r="C138" s="18" t="str">
        <x:v>Азия</x:v>
      </x:c>
      <x:c r="D138" s="18" t="str">
        <x:v>P7</x:v>
      </x:c>
      <x:c r="E138" s="22" t="n">
        <x:v>45000</x:v>
      </x:c>
      <x:c r="F138" s="22" t="n">
        <x:v>1</x:v>
      </x:c>
      <x:c r="G138" s="22" t="n">
        <x:v>10</x:v>
      </x:c>
      <x:c r="H138" s="22" t="n">
        <x:v>0.1</x:v>
      </x:c>
      <x:c r="I138" s="22" t="n">
        <x:v>1.2</x:v>
      </x:c>
      <x:c r="J138" s="22" t="n">
        <x:f>E138*1.5</x:f>
        <x:v>67500</x:v>
      </x:c>
      <x:c r="K138" s="22" t="n">
        <x:f>E138*2.5</x:f>
        <x:v>112500</x:v>
      </x:c>
      <x:c r="L138" s="22" t="n">
        <x:f>E138*3.5</x:f>
        <x:v>157500</x:v>
      </x:c>
      <x:c r="M138" s="22" t="n">
        <x:f>E138*4.5</x:f>
        <x:v>202500</x:v>
      </x:c>
      <x:c r="N138" s="22" t="n">
        <x:f>E138*5.5</x:f>
        <x:v>247500</x:v>
      </x:c>
      <x:c r="O138" s="22" t="n">
        <x:f>E138*7.5</x:f>
        <x:v>337500</x:v>
      </x:c>
      <x:c r="P138" s="22" t="n">
        <x:f>E138*9.5</x:f>
        <x:v>427500</x:v>
      </x:c>
      <x:c r="Q138" s="18" t="str">
        <x:v>Высокогорье и крайне редкая сеть</x:v>
      </x:c>
      <x:c r="R138" s="18" t="str">
        <x:v>Проектный профиль v1</x:v>
      </x:c>
      <x:c r="S138" s="18" t="str">
        <x:v>Экспертная классификация проекта</x:v>
      </x:c>
    </x:row>
    <x:row r="139">
      <x:c r="A139" s="18" t="str">
        <x:v>Монголия</x:v>
      </x:c>
      <x:c r="B139" s="18" t="str">
        <x:v>Монголия</x:v>
      </x:c>
      <x:c r="C139" s="18" t="str">
        <x:v>Азия</x:v>
      </x:c>
      <x:c r="D139" s="18" t="str">
        <x:v>P8</x:v>
      </x:c>
      <x:c r="E139" s="22" t="n">
        <x:v>70000</x:v>
      </x:c>
      <x:c r="F139" s="22" t="n">
        <x:v>1</x:v>
      </x:c>
      <x:c r="G139" s="22" t="n">
        <x:v>12</x:v>
      </x:c>
      <x:c r="H139" s="22" t="n">
        <x:v>0.08</x:v>
      </x:c>
      <x:c r="I139" s="22" t="n">
        <x:v>1</x:v>
      </x:c>
      <x:c r="J139" s="22" t="n">
        <x:f>E139*1.5</x:f>
        <x:v>105000</x:v>
      </x:c>
      <x:c r="K139" s="22" t="n">
        <x:f>E139*2.5</x:f>
        <x:v>175000</x:v>
      </x:c>
      <x:c r="L139" s="22" t="n">
        <x:f>E139*3.5</x:f>
        <x:v>245000</x:v>
      </x:c>
      <x:c r="M139" s="22" t="n">
        <x:f>E139*4.5</x:f>
        <x:v>315000</x:v>
      </x:c>
      <x:c r="N139" s="22" t="n">
        <x:f>E139*5.5</x:f>
        <x:v>385000</x:v>
      </x:c>
      <x:c r="O139" s="22" t="n">
        <x:f>E139*7.5</x:f>
        <x:v>525000</x:v>
      </x:c>
      <x:c r="P139" s="22" t="n">
        <x:f>E139*9.5</x:f>
        <x:v>665000</x:v>
      </x:c>
      <x:c r="Q139" s="18" t="str">
        <x:v>Степи и пустыни</x:v>
      </x:c>
      <x:c r="R139" s="18" t="str">
        <x:v>Проектный профиль v1</x:v>
      </x:c>
      <x:c r="S139" s="18" t="str">
        <x:v>Экспертная классификация проекта</x:v>
      </x:c>
    </x:row>
    <x:row r="140">
      <x:c r="A140" s="18" t="str">
        <x:v>Корейский север</x:v>
      </x:c>
      <x:c r="B140" s="18" t="str">
        <x:v>Корея</x:v>
      </x:c>
      <x:c r="C140" s="18" t="str">
        <x:v>Азия</x:v>
      </x:c>
      <x:c r="D140" s="18" t="str">
        <x:v>P3</x:v>
      </x:c>
      <x:c r="E140" s="22" t="n">
        <x:v>2200</x:v>
      </x:c>
      <x:c r="F140" s="22" t="n">
        <x:v>1</x:v>
      </x:c>
      <x:c r="G140" s="22" t="n">
        <x:v>14</x:v>
      </x:c>
      <x:c r="H140" s="22" t="n">
        <x:v>1.15</x:v>
      </x:c>
      <x:c r="I140" s="22" t="n">
        <x:v>1.25</x:v>
      </x:c>
      <x:c r="J140" s="22" t="n">
        <x:f>E140*1.5</x:f>
        <x:v>3300</x:v>
      </x:c>
      <x:c r="K140" s="22" t="n">
        <x:f>E140*2.5</x:f>
        <x:v>5500</x:v>
      </x:c>
      <x:c r="L140" s="22" t="n">
        <x:f>E140*3.5</x:f>
        <x:v>7700</x:v>
      </x:c>
      <x:c r="M140" s="22" t="n">
        <x:f>E140*4.5</x:f>
        <x:v>9900</x:v>
      </x:c>
      <x:c r="N140" s="22" t="n">
        <x:f>E140*5.5</x:f>
        <x:v>12100</x:v>
      </x:c>
      <x:c r="O140" s="22" t="n">
        <x:f>E140*7.5</x:f>
        <x:v>16500</x:v>
      </x:c>
      <x:c r="P140" s="22" t="n">
        <x:f>E140*9.5</x:f>
        <x:v>20900</x:v>
      </x:c>
      <x:c r="Q140" s="18" t="str">
        <x:v>Горная территория и речные долины</x:v>
      </x:c>
      <x:c r="R140" s="18" t="str">
        <x:v>Проектный профиль v1</x:v>
      </x:c>
      <x:c r="S140" s="18" t="str">
        <x:v>Экспертная классификация проекта</x:v>
      </x:c>
    </x:row>
    <x:row r="141">
      <x:c r="A141" s="18" t="str">
        <x:v>Корейский юг</x:v>
      </x:c>
      <x:c r="B141" s="18" t="str">
        <x:v>Корея</x:v>
      </x:c>
      <x:c r="C141" s="18" t="str">
        <x:v>Азия</x:v>
      </x:c>
      <x:c r="D141" s="18" t="str">
        <x:v>P2</x:v>
      </x:c>
      <x:c r="E141" s="22" t="n">
        <x:v>1300</x:v>
      </x:c>
      <x:c r="F141" s="22" t="n">
        <x:v>1</x:v>
      </x:c>
      <x:c r="G141" s="22" t="n">
        <x:v>14</x:v>
      </x:c>
      <x:c r="H141" s="22" t="n">
        <x:v>1.65</x:v>
      </x:c>
      <x:c r="I141" s="22" t="n">
        <x:v>1.2</x:v>
      </x:c>
      <x:c r="J141" s="22" t="n">
        <x:f>E141*1.5</x:f>
        <x:v>1950</x:v>
      </x:c>
      <x:c r="K141" s="22" t="n">
        <x:f>E141*2.5</x:f>
        <x:v>3250</x:v>
      </x:c>
      <x:c r="L141" s="22" t="n">
        <x:f>E141*3.5</x:f>
        <x:v>4550</x:v>
      </x:c>
      <x:c r="M141" s="22" t="n">
        <x:f>E141*4.5</x:f>
        <x:v>5850</x:v>
      </x:c>
      <x:c r="N141" s="22" t="n">
        <x:f>E141*5.5</x:f>
        <x:v>7150</x:v>
      </x:c>
      <x:c r="O141" s="22" t="n">
        <x:f>E141*7.5</x:f>
        <x:v>9750</x:v>
      </x:c>
      <x:c r="P141" s="22" t="n">
        <x:f>E141*9.5</x:f>
        <x:v>12350</x:v>
      </x:c>
      <x:c r="Q141" s="18" t="str">
        <x:v>Плотные долины и побережье</x:v>
      </x:c>
      <x:c r="R141" s="18" t="str">
        <x:v>Проектный профиль v1</x:v>
      </x:c>
      <x:c r="S141" s="18" t="str">
        <x:v>Экспертная классификация проекта</x:v>
      </x:c>
    </x:row>
    <x:row r="142">
      <x:c r="A142" s="18" t="str">
        <x:v>Канто</x:v>
      </x:c>
      <x:c r="B142" s="18" t="str">
        <x:v>Япония</x:v>
      </x:c>
      <x:c r="C142" s="18" t="str">
        <x:v>Азия</x:v>
      </x:c>
      <x:c r="D142" s="18" t="str">
        <x:v>P0</x:v>
      </x:c>
      <x:c r="E142" s="22" t="n">
        <x:v>500</x:v>
      </x:c>
      <x:c r="F142" s="22" t="n">
        <x:v>3</x:v>
      </x:c>
      <x:c r="G142" s="22" t="n">
        <x:v>8</x:v>
      </x:c>
      <x:c r="H142" s="22" t="n">
        <x:v>2.5</x:v>
      </x:c>
      <x:c r="I142" s="22" t="n">
        <x:v>1.15</x:v>
      </x:c>
      <x:c r="J142" s="22" t="n">
        <x:f>E142*1.5</x:f>
        <x:v>750</x:v>
      </x:c>
      <x:c r="K142" s="22" t="n">
        <x:f>E142*2.5</x:f>
        <x:v>1250</x:v>
      </x:c>
      <x:c r="L142" s="22" t="n">
        <x:f>E142*3.5</x:f>
        <x:v>1750</x:v>
      </x:c>
      <x:c r="M142" s="22" t="n">
        <x:f>E142*4.5</x:f>
        <x:v>2250</x:v>
      </x:c>
      <x:c r="N142" s="22" t="n">
        <x:f>E142*5.5</x:f>
        <x:v>2750</x:v>
      </x:c>
      <x:c r="O142" s="22" t="n">
        <x:f>E142*7.5</x:f>
        <x:v>3750</x:v>
      </x:c>
      <x:c r="P142" s="22" t="n">
        <x:f>E142*9.5</x:f>
        <x:v>4750</x:v>
      </x:c>
      <x:c r="Q142" s="18" t="str">
        <x:v>Метропольное ядро Токио</x:v>
      </x:c>
      <x:c r="R142" s="18" t="str">
        <x:v>Проектный профиль v1</x:v>
      </x:c>
      <x:c r="S142" s="18" t="str">
        <x:v>Экспертная классификация проекта</x:v>
      </x:c>
    </x:row>
    <x:row r="143">
      <x:c r="A143" s="18" t="str">
        <x:v>Кансай</x:v>
      </x:c>
      <x:c r="B143" s="18" t="str">
        <x:v>Япония</x:v>
      </x:c>
      <x:c r="C143" s="18" t="str">
        <x:v>Азия</x:v>
      </x:c>
      <x:c r="D143" s="18" t="str">
        <x:v>P1</x:v>
      </x:c>
      <x:c r="E143" s="22" t="n">
        <x:v>700</x:v>
      </x:c>
      <x:c r="F143" s="22" t="n">
        <x:v>1</x:v>
      </x:c>
      <x:c r="G143" s="22" t="n">
        <x:v>12</x:v>
      </x:c>
      <x:c r="H143" s="22" t="n">
        <x:v>2.1</x:v>
      </x:c>
      <x:c r="I143" s="22" t="n">
        <x:v>1.2</x:v>
      </x:c>
      <x:c r="J143" s="22" t="n">
        <x:f>E143*1.5</x:f>
        <x:v>1050</x:v>
      </x:c>
      <x:c r="K143" s="22" t="n">
        <x:f>E143*2.5</x:f>
        <x:v>1750</x:v>
      </x:c>
      <x:c r="L143" s="22" t="n">
        <x:f>E143*3.5</x:f>
        <x:v>2450</x:v>
      </x:c>
      <x:c r="M143" s="22" t="n">
        <x:f>E143*4.5</x:f>
        <x:v>3150</x:v>
      </x:c>
      <x:c r="N143" s="22" t="n">
        <x:f>E143*5.5</x:f>
        <x:v>3850</x:v>
      </x:c>
      <x:c r="O143" s="22" t="n">
        <x:f>E143*7.5</x:f>
        <x:v>5250</x:v>
      </x:c>
      <x:c r="P143" s="22" t="n">
        <x:f>E143*9.5</x:f>
        <x:v>6650</x:v>
      </x:c>
      <x:c r="Q143" s="18" t="str">
        <x:v>Осака–Киото и плотная сеть</x:v>
      </x:c>
      <x:c r="R143" s="18" t="str">
        <x:v>Проектный профиль v1</x:v>
      </x:c>
      <x:c r="S143" s="18" t="str">
        <x:v>Экспертная классификация проекта</x:v>
      </x:c>
    </x:row>
    <x:row r="144">
      <x:c r="A144" s="18" t="str">
        <x:v>Центральный Хонсю</x:v>
      </x:c>
      <x:c r="B144" s="18" t="str">
        <x:v>Япония</x:v>
      </x:c>
      <x:c r="C144" s="18" t="str">
        <x:v>Азия</x:v>
      </x:c>
      <x:c r="D144" s="18" t="str">
        <x:v>P2</x:v>
      </x:c>
      <x:c r="E144" s="22" t="n">
        <x:v>1100</x:v>
      </x:c>
      <x:c r="F144" s="22" t="n">
        <x:v>1</x:v>
      </x:c>
      <x:c r="G144" s="22" t="n">
        <x:v>14</x:v>
      </x:c>
      <x:c r="H144" s="22" t="n">
        <x:v>1.7</x:v>
      </x:c>
      <x:c r="I144" s="22" t="n">
        <x:v>1.3</x:v>
      </x:c>
      <x:c r="J144" s="22" t="n">
        <x:f>E144*1.5</x:f>
        <x:v>1650</x:v>
      </x:c>
      <x:c r="K144" s="22" t="n">
        <x:f>E144*2.5</x:f>
        <x:v>2750</x:v>
      </x:c>
      <x:c r="L144" s="22" t="n">
        <x:f>E144*3.5</x:f>
        <x:v>3850</x:v>
      </x:c>
      <x:c r="M144" s="22" t="n">
        <x:f>E144*4.5</x:f>
        <x:v>4950</x:v>
      </x:c>
      <x:c r="N144" s="22" t="n">
        <x:f>E144*5.5</x:f>
        <x:v>6050</x:v>
      </x:c>
      <x:c r="O144" s="22" t="n">
        <x:f>E144*7.5</x:f>
        <x:v>8250</x:v>
      </x:c>
      <x:c r="P144" s="22" t="n">
        <x:f>E144*9.5</x:f>
        <x:v>10450</x:v>
      </x:c>
      <x:c r="Q144" s="18" t="str">
        <x:v>Горные долины и прибрежные центры</x:v>
      </x:c>
      <x:c r="R144" s="18" t="str">
        <x:v>Проектный профиль v1</x:v>
      </x:c>
      <x:c r="S144" s="18" t="str">
        <x:v>Экспертная классификация проекта</x:v>
      </x:c>
    </x:row>
    <x:row r="145">
      <x:c r="A145" s="18" t="str">
        <x:v>Северный Хонсю</x:v>
      </x:c>
      <x:c r="B145" s="18" t="str">
        <x:v>Япония</x:v>
      </x:c>
      <x:c r="C145" s="18" t="str">
        <x:v>Азия</x:v>
      </x:c>
      <x:c r="D145" s="18" t="str">
        <x:v>P3</x:v>
      </x:c>
      <x:c r="E145" s="22" t="n">
        <x:v>2200</x:v>
      </x:c>
      <x:c r="F145" s="22" t="n">
        <x:v>1</x:v>
      </x:c>
      <x:c r="G145" s="22" t="n">
        <x:v>12</x:v>
      </x:c>
      <x:c r="H145" s="22" t="n">
        <x:v>1.05</x:v>
      </x:c>
      <x:c r="I145" s="22" t="n">
        <x:v>1.25</x:v>
      </x:c>
      <x:c r="J145" s="22" t="n">
        <x:f>E145*1.5</x:f>
        <x:v>3300</x:v>
      </x:c>
      <x:c r="K145" s="22" t="n">
        <x:f>E145*2.5</x:f>
        <x:v>5500</x:v>
      </x:c>
      <x:c r="L145" s="22" t="n">
        <x:f>E145*3.5</x:f>
        <x:v>7700</x:v>
      </x:c>
      <x:c r="M145" s="22" t="n">
        <x:f>E145*4.5</x:f>
        <x:v>9900</x:v>
      </x:c>
      <x:c r="N145" s="22" t="n">
        <x:f>E145*5.5</x:f>
        <x:v>12100</x:v>
      </x:c>
      <x:c r="O145" s="22" t="n">
        <x:f>E145*7.5</x:f>
        <x:v>16500</x:v>
      </x:c>
      <x:c r="P145" s="22" t="n">
        <x:f>E145*9.5</x:f>
        <x:v>20900</x:v>
      </x:c>
      <x:c r="Q145" s="18" t="str">
        <x:v>Менее плотная горная территория</x:v>
      </x:c>
      <x:c r="R145" s="18" t="str">
        <x:v>Проектный профиль v1</x:v>
      </x:c>
      <x:c r="S145" s="18" t="str">
        <x:v>Экспертная классификация проекта</x:v>
      </x:c>
    </x:row>
    <x:row r="146">
      <x:c r="A146" s="18" t="str">
        <x:v>Кюсю и Сикоку</x:v>
      </x:c>
      <x:c r="B146" s="18" t="str">
        <x:v>Япония</x:v>
      </x:c>
      <x:c r="C146" s="18" t="str">
        <x:v>Азия</x:v>
      </x:c>
      <x:c r="D146" s="18" t="str">
        <x:v>P2</x:v>
      </x:c>
      <x:c r="E146" s="22" t="n">
        <x:v>1200</x:v>
      </x:c>
      <x:c r="F146" s="22" t="n">
        <x:v>1</x:v>
      </x:c>
      <x:c r="G146" s="22" t="n">
        <x:v>14</x:v>
      </x:c>
      <x:c r="H146" s="22" t="n">
        <x:v>1.55</x:v>
      </x:c>
      <x:c r="I146" s="22" t="n">
        <x:v>1.3</x:v>
      </x:c>
      <x:c r="J146" s="22" t="n">
        <x:f>E146*1.5</x:f>
        <x:v>1800</x:v>
      </x:c>
      <x:c r="K146" s="22" t="n">
        <x:f>E146*2.5</x:f>
        <x:v>3000</x:v>
      </x:c>
      <x:c r="L146" s="22" t="n">
        <x:f>E146*3.5</x:f>
        <x:v>4200</x:v>
      </x:c>
      <x:c r="M146" s="22" t="n">
        <x:f>E146*4.5</x:f>
        <x:v>5400</x:v>
      </x:c>
      <x:c r="N146" s="22" t="n">
        <x:f>E146*5.5</x:f>
        <x:v>6600</x:v>
      </x:c>
      <x:c r="O146" s="22" t="n">
        <x:f>E146*7.5</x:f>
        <x:v>9000</x:v>
      </x:c>
      <x:c r="P146" s="22" t="n">
        <x:f>E146*9.5</x:f>
        <x:v>11400</x:v>
      </x:c>
      <x:c r="Q146" s="18" t="str">
        <x:v>Острова, порты и горы</x:v>
      </x:c>
      <x:c r="R146" s="18" t="str">
        <x:v>Проектный профиль v1</x:v>
      </x:c>
      <x:c r="S146" s="18" t="str">
        <x:v>Экспертная классификация проекта</x:v>
      </x:c>
    </x:row>
    <x:row r="147">
      <x:c r="A147" s="18" t="str">
        <x:v>Хоккайдо</x:v>
      </x:c>
      <x:c r="B147" s="18" t="str">
        <x:v>Япония</x:v>
      </x:c>
      <x:c r="C147" s="18" t="str">
        <x:v>Азия</x:v>
      </x:c>
      <x:c r="D147" s="18" t="str">
        <x:v>P4</x:v>
      </x:c>
      <x:c r="E147" s="22" t="n">
        <x:v>4500</x:v>
      </x:c>
      <x:c r="F147" s="22" t="n">
        <x:v>1</x:v>
      </x:c>
      <x:c r="G147" s="22" t="n">
        <x:v>12</x:v>
      </x:c>
      <x:c r="H147" s="22" t="n">
        <x:v>0.6</x:v>
      </x:c>
      <x:c r="I147" s="22" t="n">
        <x:v>1.15</x:v>
      </x:c>
      <x:c r="J147" s="22" t="n">
        <x:f>E147*1.5</x:f>
        <x:v>6750</x:v>
      </x:c>
      <x:c r="K147" s="22" t="n">
        <x:f>E147*2.5</x:f>
        <x:v>11250</x:v>
      </x:c>
      <x:c r="L147" s="22" t="n">
        <x:f>E147*3.5</x:f>
        <x:v>15750</x:v>
      </x:c>
      <x:c r="M147" s="22" t="n">
        <x:f>E147*4.5</x:f>
        <x:v>20250</x:v>
      </x:c>
      <x:c r="N147" s="22" t="n">
        <x:f>E147*5.5</x:f>
        <x:v>24750</x:v>
      </x:c>
      <x:c r="O147" s="22" t="n">
        <x:f>E147*7.5</x:f>
        <x:v>33750</x:v>
      </x:c>
      <x:c r="P147" s="22" t="n">
        <x:f>E147*9.5</x:f>
        <x:v>42750</x:v>
      </x:c>
      <x:c r="Q147" s="18" t="str">
        <x:v>Более редкая сеть и крупные природные пространства</x:v>
      </x:c>
      <x:c r="R147" s="18" t="str">
        <x:v>Проектный профиль v1</x:v>
      </x:c>
      <x:c r="S147" s="18" t="str">
        <x:v>Экспертная классификация проекта</x:v>
      </x:c>
    </x:row>
    <x:row r="148">
      <x:c r="A148" s="18" t="str">
        <x:v>Пенджаб</x:v>
      </x:c>
      <x:c r="B148" s="18" t="str">
        <x:v>Индия</x:v>
      </x:c>
      <x:c r="C148" s="18" t="str">
        <x:v>Азия</x:v>
      </x:c>
      <x:c r="D148" s="18" t="str">
        <x:v>P2</x:v>
      </x:c>
      <x:c r="E148" s="22" t="n">
        <x:v>1400</x:v>
      </x:c>
      <x:c r="F148" s="22" t="n">
        <x:v>1</x:v>
      </x:c>
      <x:c r="G148" s="22" t="n">
        <x:v>16</x:v>
      </x:c>
      <x:c r="H148" s="22" t="n">
        <x:v>1.8</x:v>
      </x:c>
      <x:c r="I148" s="22" t="n">
        <x:v>1</x:v>
      </x:c>
      <x:c r="J148" s="22" t="n">
        <x:f>E148*1.5</x:f>
        <x:v>2100</x:v>
      </x:c>
      <x:c r="K148" s="22" t="n">
        <x:f>E148*2.5</x:f>
        <x:v>3500</x:v>
      </x:c>
      <x:c r="L148" s="22" t="n">
        <x:f>E148*3.5</x:f>
        <x:v>4900</x:v>
      </x:c>
      <x:c r="M148" s="22" t="n">
        <x:f>E148*4.5</x:f>
        <x:v>6300</x:v>
      </x:c>
      <x:c r="N148" s="22" t="n">
        <x:f>E148*5.5</x:f>
        <x:v>7700</x:v>
      </x:c>
      <x:c r="O148" s="22" t="n">
        <x:f>E148*7.5</x:f>
        <x:v>10500</x:v>
      </x:c>
      <x:c r="P148" s="22" t="n">
        <x:f>E148*9.5</x:f>
        <x:v>13300</x:v>
      </x:c>
      <x:c r="Q148" s="18" t="str">
        <x:v>Орошаемая плотная равнина</x:v>
      </x:c>
      <x:c r="R148" s="18" t="str">
        <x:v>Проектный профиль v1</x:v>
      </x:c>
      <x:c r="S148" s="18" t="str">
        <x:v>Экспертная классификация проекта</x:v>
      </x:c>
    </x:row>
    <x:row r="149">
      <x:c r="A149" s="18" t="str">
        <x:v>Верхняя Гангская равнина</x:v>
      </x:c>
      <x:c r="B149" s="18" t="str">
        <x:v>Индия</x:v>
      </x:c>
      <x:c r="C149" s="18" t="str">
        <x:v>Азия</x:v>
      </x:c>
      <x:c r="D149" s="18" t="str">
        <x:v>P2</x:v>
      </x:c>
      <x:c r="E149" s="22" t="n">
        <x:v>1300</x:v>
      </x:c>
      <x:c r="F149" s="22" t="n">
        <x:v>1</x:v>
      </x:c>
      <x:c r="G149" s="22" t="n">
        <x:v>18</x:v>
      </x:c>
      <x:c r="H149" s="22" t="n">
        <x:v>1.9</x:v>
      </x:c>
      <x:c r="I149" s="22" t="n">
        <x:v>1</x:v>
      </x:c>
      <x:c r="J149" s="22" t="n">
        <x:f>E149*1.5</x:f>
        <x:v>1950</x:v>
      </x:c>
      <x:c r="K149" s="22" t="n">
        <x:f>E149*2.5</x:f>
        <x:v>3250</x:v>
      </x:c>
      <x:c r="L149" s="22" t="n">
        <x:f>E149*3.5</x:f>
        <x:v>4550</x:v>
      </x:c>
      <x:c r="M149" s="22" t="n">
        <x:f>E149*4.5</x:f>
        <x:v>5850</x:v>
      </x:c>
      <x:c r="N149" s="22" t="n">
        <x:f>E149*5.5</x:f>
        <x:v>7150</x:v>
      </x:c>
      <x:c r="O149" s="22" t="n">
        <x:f>E149*7.5</x:f>
        <x:v>9750</x:v>
      </x:c>
      <x:c r="P149" s="22" t="n">
        <x:f>E149*9.5</x:f>
        <x:v>12350</x:v>
      </x:c>
      <x:c r="Q149" s="18" t="str">
        <x:v>Одна из самых плотных аграрных зон мира</x:v>
      </x:c>
      <x:c r="R149" s="18" t="str">
        <x:v>Проектный профиль v1</x:v>
      </x:c>
      <x:c r="S149" s="18" t="str">
        <x:v>Экспертная классификация проекта</x:v>
      </x:c>
    </x:row>
    <x:row r="150">
      <x:c r="A150" s="18" t="str">
        <x:v>Средняя Гангская равнина</x:v>
      </x:c>
      <x:c r="B150" s="18" t="str">
        <x:v>Индия</x:v>
      </x:c>
      <x:c r="C150" s="18" t="str">
        <x:v>Азия</x:v>
      </x:c>
      <x:c r="D150" s="18" t="str">
        <x:v>P1</x:v>
      </x:c>
      <x:c r="E150" s="22" t="n">
        <x:v>950</x:v>
      </x:c>
      <x:c r="F150" s="22" t="n">
        <x:v>1</x:v>
      </x:c>
      <x:c r="G150" s="22" t="n">
        <x:v>18</x:v>
      </x:c>
      <x:c r="H150" s="22" t="n">
        <x:v>2</x:v>
      </x:c>
      <x:c r="I150" s="22" t="n">
        <x:v>1</x:v>
      </x:c>
      <x:c r="J150" s="22" t="n">
        <x:f>E150*1.5</x:f>
        <x:v>1425</x:v>
      </x:c>
      <x:c r="K150" s="22" t="n">
        <x:f>E150*2.5</x:f>
        <x:v>2375</x:v>
      </x:c>
      <x:c r="L150" s="22" t="n">
        <x:f>E150*3.5</x:f>
        <x:v>3325</x:v>
      </x:c>
      <x:c r="M150" s="22" t="n">
        <x:f>E150*4.5</x:f>
        <x:v>4275</x:v>
      </x:c>
      <x:c r="N150" s="22" t="n">
        <x:f>E150*5.5</x:f>
        <x:v>5225</x:v>
      </x:c>
      <x:c r="O150" s="22" t="n">
        <x:f>E150*7.5</x:f>
        <x:v>7125</x:v>
      </x:c>
      <x:c r="P150" s="22" t="n">
        <x:f>E150*9.5</x:f>
        <x:v>9025</x:v>
      </x:c>
      <x:c r="Q150" s="18" t="str">
        <x:v>Сверхплотное сельское население</x:v>
      </x:c>
      <x:c r="R150" s="18" t="str">
        <x:v>Проектный профиль v1</x:v>
      </x:c>
      <x:c r="S150" s="18" t="str">
        <x:v>Экспертная классификация проекта</x:v>
      </x:c>
    </x:row>
    <x:row r="151">
      <x:c r="A151" s="18" t="str">
        <x:v>Бенгальская дельта</x:v>
      </x:c>
      <x:c r="B151" s="18" t="str">
        <x:v>Индия</x:v>
      </x:c>
      <x:c r="C151" s="18" t="str">
        <x:v>Азия</x:v>
      </x:c>
      <x:c r="D151" s="18" t="str">
        <x:v>P1</x:v>
      </x:c>
      <x:c r="E151" s="22" t="n">
        <x:v>850</x:v>
      </x:c>
      <x:c r="F151" s="22" t="n">
        <x:v>1</x:v>
      </x:c>
      <x:c r="G151" s="22" t="n">
        <x:v>14</x:v>
      </x:c>
      <x:c r="H151" s="22" t="n">
        <x:v>2</x:v>
      </x:c>
      <x:c r="I151" s="22" t="n">
        <x:v>1.2</x:v>
      </x:c>
      <x:c r="J151" s="22" t="n">
        <x:f>E151*1.5</x:f>
        <x:v>1275</x:v>
      </x:c>
      <x:c r="K151" s="22" t="n">
        <x:f>E151*2.5</x:f>
        <x:v>2125</x:v>
      </x:c>
      <x:c r="L151" s="22" t="n">
        <x:f>E151*3.5</x:f>
        <x:v>2975</x:v>
      </x:c>
      <x:c r="M151" s="22" t="n">
        <x:f>E151*4.5</x:f>
        <x:v>3825</x:v>
      </x:c>
      <x:c r="N151" s="22" t="n">
        <x:f>E151*5.5</x:f>
        <x:v>4675</x:v>
      </x:c>
      <x:c r="O151" s="22" t="n">
        <x:f>E151*7.5</x:f>
        <x:v>6375</x:v>
      </x:c>
      <x:c r="P151" s="22" t="n">
        <x:f>E151*9.5</x:f>
        <x:v>8075</x:v>
      </x:c>
      <x:c r="Q151" s="18" t="str">
        <x:v>Дельта, реки и сверхплотное население</x:v>
      </x:c>
      <x:c r="R151" s="18" t="str">
        <x:v>Проектный профиль v1</x:v>
      </x:c>
      <x:c r="S151" s="18" t="str">
        <x:v>Экспертная классификация проекта</x:v>
      </x:c>
    </x:row>
    <x:row r="152">
      <x:c r="A152" s="18" t="str">
        <x:v>Раджастхан</x:v>
      </x:c>
      <x:c r="B152" s="18" t="str">
        <x:v>Индия</x:v>
      </x:c>
      <x:c r="C152" s="18" t="str">
        <x:v>Азия</x:v>
      </x:c>
      <x:c r="D152" s="18" t="str">
        <x:v>P6</x:v>
      </x:c>
      <x:c r="E152" s="22" t="n">
        <x:v>12000</x:v>
      </x:c>
      <x:c r="F152" s="22" t="n">
        <x:v>1</x:v>
      </x:c>
      <x:c r="G152" s="22" t="n">
        <x:v>14</x:v>
      </x:c>
      <x:c r="H152" s="22" t="n">
        <x:v>0.45</x:v>
      </x:c>
      <x:c r="I152" s="22" t="n">
        <x:v>1.05</x:v>
      </x:c>
      <x:c r="J152" s="22" t="n">
        <x:f>E152*1.5</x:f>
        <x:v>18000</x:v>
      </x:c>
      <x:c r="K152" s="22" t="n">
        <x:f>E152*2.5</x:f>
        <x:v>30000</x:v>
      </x:c>
      <x:c r="L152" s="22" t="n">
        <x:f>E152*3.5</x:f>
        <x:v>42000</x:v>
      </x:c>
      <x:c r="M152" s="22" t="n">
        <x:f>E152*4.5</x:f>
        <x:v>54000</x:v>
      </x:c>
      <x:c r="N152" s="22" t="n">
        <x:f>E152*5.5</x:f>
        <x:v>66000</x:v>
      </x:c>
      <x:c r="O152" s="22" t="n">
        <x:f>E152*7.5</x:f>
        <x:v>90000</x:v>
      </x:c>
      <x:c r="P152" s="22" t="n">
        <x:f>E152*9.5</x:f>
        <x:v>114000</x:v>
      </x:c>
      <x:c r="Q152" s="18" t="str">
        <x:v>Пустыня и оазисные города</x:v>
      </x:c>
      <x:c r="R152" s="18" t="str">
        <x:v>Проектный профиль v1</x:v>
      </x:c>
      <x:c r="S152" s="18" t="str">
        <x:v>Экспертная классификация проекта</x:v>
      </x:c>
    </x:row>
    <x:row r="153">
      <x:c r="A153" s="18" t="str">
        <x:v>Гуджарат</x:v>
      </x:c>
      <x:c r="B153" s="18" t="str">
        <x:v>Индия</x:v>
      </x:c>
      <x:c r="C153" s="18" t="str">
        <x:v>Азия</x:v>
      </x:c>
      <x:c r="D153" s="18" t="str">
        <x:v>P3</x:v>
      </x:c>
      <x:c r="E153" s="22" t="n">
        <x:v>2400</x:v>
      </x:c>
      <x:c r="F153" s="22" t="n">
        <x:v>1</x:v>
      </x:c>
      <x:c r="G153" s="22" t="n">
        <x:v>14</x:v>
      </x:c>
      <x:c r="H153" s="22" t="n">
        <x:v>1.25</x:v>
      </x:c>
      <x:c r="I153" s="22" t="n">
        <x:v>1.15</x:v>
      </x:c>
      <x:c r="J153" s="22" t="n">
        <x:f>E153*1.5</x:f>
        <x:v>3600</x:v>
      </x:c>
      <x:c r="K153" s="22" t="n">
        <x:f>E153*2.5</x:f>
        <x:v>6000</x:v>
      </x:c>
      <x:c r="L153" s="22" t="n">
        <x:f>E153*3.5</x:f>
        <x:v>8400</x:v>
      </x:c>
      <x:c r="M153" s="22" t="n">
        <x:f>E153*4.5</x:f>
        <x:v>10800</x:v>
      </x:c>
      <x:c r="N153" s="22" t="n">
        <x:f>E153*5.5</x:f>
        <x:v>13200</x:v>
      </x:c>
      <x:c r="O153" s="22" t="n">
        <x:f>E153*7.5</x:f>
        <x:v>18000</x:v>
      </x:c>
      <x:c r="P153" s="22" t="n">
        <x:f>E153*9.5</x:f>
        <x:v>22800</x:v>
      </x:c>
      <x:c r="Q153" s="18" t="str">
        <x:v>Порты, полуостров и аграрные районы</x:v>
      </x:c>
      <x:c r="R153" s="18" t="str">
        <x:v>Проектный профиль v1</x:v>
      </x:c>
      <x:c r="S153" s="18" t="str">
        <x:v>Экспертная классификация проекта</x:v>
      </x:c>
    </x:row>
    <x:row r="154">
      <x:c r="A154" s="18" t="str">
        <x:v>Декан</x:v>
      </x:c>
      <x:c r="B154" s="18" t="str">
        <x:v>Индия</x:v>
      </x:c>
      <x:c r="C154" s="18" t="str">
        <x:v>Азия</x:v>
      </x:c>
      <x:c r="D154" s="18" t="str">
        <x:v>P4</x:v>
      </x:c>
      <x:c r="E154" s="22" t="n">
        <x:v>3200</x:v>
      </x:c>
      <x:c r="F154" s="22" t="n">
        <x:v>1</x:v>
      </x:c>
      <x:c r="G154" s="22" t="n">
        <x:v>18</x:v>
      </x:c>
      <x:c r="H154" s="22" t="n">
        <x:v>1.15</x:v>
      </x:c>
      <x:c r="I154" s="22" t="n">
        <x:v>1.1</x:v>
      </x:c>
      <x:c r="J154" s="22" t="n">
        <x:f>E154*1.5</x:f>
        <x:v>4800</x:v>
      </x:c>
      <x:c r="K154" s="22" t="n">
        <x:f>E154*2.5</x:f>
        <x:v>8000</x:v>
      </x:c>
      <x:c r="L154" s="22" t="n">
        <x:f>E154*3.5</x:f>
        <x:v>11200</x:v>
      </x:c>
      <x:c r="M154" s="22" t="n">
        <x:f>E154*4.5</x:f>
        <x:v>14400</x:v>
      </x:c>
      <x:c r="N154" s="22" t="n">
        <x:f>E154*5.5</x:f>
        <x:v>17600</x:v>
      </x:c>
      <x:c r="O154" s="22" t="n">
        <x:f>E154*7.5</x:f>
        <x:v>24000</x:v>
      </x:c>
      <x:c r="P154" s="22" t="n">
        <x:f>E154*9.5</x:f>
        <x:v>30400</x:v>
      </x:c>
      <x:c r="Q154" s="18" t="str">
        <x:v>Крупное плато и плотные локальные центры</x:v>
      </x:c>
      <x:c r="R154" s="18" t="str">
        <x:v>Проектный профиль v1</x:v>
      </x:c>
      <x:c r="S154" s="18" t="str">
        <x:v>Экспертная классификация проекта</x:v>
      </x:c>
    </x:row>
    <x:row r="155">
      <x:c r="A155" s="18" t="str">
        <x:v>Малабарское побережье</x:v>
      </x:c>
      <x:c r="B155" s="18" t="str">
        <x:v>Индия</x:v>
      </x:c>
      <x:c r="C155" s="18" t="str">
        <x:v>Азия</x:v>
      </x:c>
      <x:c r="D155" s="18" t="str">
        <x:v>P2</x:v>
      </x:c>
      <x:c r="E155" s="22" t="n">
        <x:v>1200</x:v>
      </x:c>
      <x:c r="F155" s="22" t="n">
        <x:v>1</x:v>
      </x:c>
      <x:c r="G155" s="22" t="n">
        <x:v>14</x:v>
      </x:c>
      <x:c r="H155" s="22" t="n">
        <x:v>1.6</x:v>
      </x:c>
      <x:c r="I155" s="22" t="n">
        <x:v>1.25</x:v>
      </x:c>
      <x:c r="J155" s="22" t="n">
        <x:f>E155*1.5</x:f>
        <x:v>1800</x:v>
      </x:c>
      <x:c r="K155" s="22" t="n">
        <x:f>E155*2.5</x:f>
        <x:v>3000</x:v>
      </x:c>
      <x:c r="L155" s="22" t="n">
        <x:f>E155*3.5</x:f>
        <x:v>4200</x:v>
      </x:c>
      <x:c r="M155" s="22" t="n">
        <x:f>E155*4.5</x:f>
        <x:v>5400</x:v>
      </x:c>
      <x:c r="N155" s="22" t="n">
        <x:f>E155*5.5</x:f>
        <x:v>6600</x:v>
      </x:c>
      <x:c r="O155" s="22" t="n">
        <x:f>E155*7.5</x:f>
        <x:v>9000</x:v>
      </x:c>
      <x:c r="P155" s="22" t="n">
        <x:f>E155*9.5</x:f>
        <x:v>11400</x:v>
      </x:c>
      <x:c r="Q155" s="18" t="str">
        <x:v>Узкая плотная прибрежная полоса</x:v>
      </x:c>
      <x:c r="R155" s="18" t="str">
        <x:v>Проектный профиль v1</x:v>
      </x:c>
      <x:c r="S155" s="18" t="str">
        <x:v>Экспертная классификация проекта</x:v>
      </x:c>
    </x:row>
    <x:row r="156">
      <x:c r="A156" s="18" t="str">
        <x:v>Тамильское побережье</x:v>
      </x:c>
      <x:c r="B156" s="18" t="str">
        <x:v>Индия</x:v>
      </x:c>
      <x:c r="C156" s="18" t="str">
        <x:v>Азия</x:v>
      </x:c>
      <x:c r="D156" s="18" t="str">
        <x:v>P2</x:v>
      </x:c>
      <x:c r="E156" s="22" t="n">
        <x:v>1400</x:v>
      </x:c>
      <x:c r="F156" s="22" t="n">
        <x:v>1</x:v>
      </x:c>
      <x:c r="G156" s="22" t="n">
        <x:v>14</x:v>
      </x:c>
      <x:c r="H156" s="22" t="n">
        <x:v>1.55</x:v>
      </x:c>
      <x:c r="I156" s="22" t="n">
        <x:v>1.15</x:v>
      </x:c>
      <x:c r="J156" s="22" t="n">
        <x:f>E156*1.5</x:f>
        <x:v>2100</x:v>
      </x:c>
      <x:c r="K156" s="22" t="n">
        <x:f>E156*2.5</x:f>
        <x:v>3500</x:v>
      </x:c>
      <x:c r="L156" s="22" t="n">
        <x:f>E156*3.5</x:f>
        <x:v>4900</x:v>
      </x:c>
      <x:c r="M156" s="22" t="n">
        <x:f>E156*4.5</x:f>
        <x:v>6300</x:v>
      </x:c>
      <x:c r="N156" s="22" t="n">
        <x:f>E156*5.5</x:f>
        <x:v>7700</x:v>
      </x:c>
      <x:c r="O156" s="22" t="n">
        <x:f>E156*7.5</x:f>
        <x:v>10500</x:v>
      </x:c>
      <x:c r="P156" s="22" t="n">
        <x:f>E156*9.5</x:f>
        <x:v>13300</x:v>
      </x:c>
      <x:c r="Q156" s="18" t="str">
        <x:v>Плотное земледелие и города</x:v>
      </x:c>
      <x:c r="R156" s="18" t="str">
        <x:v>Проектный профиль v1</x:v>
      </x:c>
      <x:c r="S156" s="18" t="str">
        <x:v>Экспертная классификация проекта</x:v>
      </x:c>
    </x:row>
    <x:row r="157">
      <x:c r="A157" s="18" t="str">
        <x:v>Центральная Индия</x:v>
      </x:c>
      <x:c r="B157" s="18" t="str">
        <x:v>Индия</x:v>
      </x:c>
      <x:c r="C157" s="18" t="str">
        <x:v>Азия</x:v>
      </x:c>
      <x:c r="D157" s="18" t="str">
        <x:v>P4</x:v>
      </x:c>
      <x:c r="E157" s="22" t="n">
        <x:v>4500</x:v>
      </x:c>
      <x:c r="F157" s="22" t="n">
        <x:v>1</x:v>
      </x:c>
      <x:c r="G157" s="22" t="n">
        <x:v>16</x:v>
      </x:c>
      <x:c r="H157" s="22" t="n">
        <x:v>0.9</x:v>
      </x:c>
      <x:c r="I157" s="22" t="n">
        <x:v>1.15</x:v>
      </x:c>
      <x:c r="J157" s="22" t="n">
        <x:f>E157*1.5</x:f>
        <x:v>6750</x:v>
      </x:c>
      <x:c r="K157" s="22" t="n">
        <x:f>E157*2.5</x:f>
        <x:v>11250</x:v>
      </x:c>
      <x:c r="L157" s="22" t="n">
        <x:f>E157*3.5</x:f>
        <x:v>15750</x:v>
      </x:c>
      <x:c r="M157" s="22" t="n">
        <x:f>E157*4.5</x:f>
        <x:v>20250</x:v>
      </x:c>
      <x:c r="N157" s="22" t="n">
        <x:f>E157*5.5</x:f>
        <x:v>24750</x:v>
      </x:c>
      <x:c r="O157" s="22" t="n">
        <x:f>E157*7.5</x:f>
        <x:v>33750</x:v>
      </x:c>
      <x:c r="P157" s="22" t="n">
        <x:f>E157*9.5</x:f>
        <x:v>42750</x:v>
      </x:c>
      <x:c r="Q157" s="18" t="str">
        <x:v>Лесистые плато и речные долины</x:v>
      </x:c>
      <x:c r="R157" s="18" t="str">
        <x:v>Проектный профиль v1</x:v>
      </x:c>
      <x:c r="S157" s="18" t="str">
        <x:v>Экспертная классификация проекта</x:v>
      </x:c>
    </x:row>
    <x:row r="158">
      <x:c r="A158" s="18" t="str">
        <x:v>Ассам и Брахмапутра</x:v>
      </x:c>
      <x:c r="B158" s="18" t="str">
        <x:v>Индия</x:v>
      </x:c>
      <x:c r="C158" s="18" t="str">
        <x:v>Азия</x:v>
      </x:c>
      <x:c r="D158" s="18" t="str">
        <x:v>P3</x:v>
      </x:c>
      <x:c r="E158" s="22" t="n">
        <x:v>2300</x:v>
      </x:c>
      <x:c r="F158" s="22" t="n">
        <x:v>1</x:v>
      </x:c>
      <x:c r="G158" s="22" t="n">
        <x:v>14</x:v>
      </x:c>
      <x:c r="H158" s="22" t="n">
        <x:v>1.1</x:v>
      </x:c>
      <x:c r="I158" s="22" t="n">
        <x:v>1.3</x:v>
      </x:c>
      <x:c r="J158" s="22" t="n">
        <x:f>E158*1.5</x:f>
        <x:v>3450</x:v>
      </x:c>
      <x:c r="K158" s="22" t="n">
        <x:f>E158*2.5</x:f>
        <x:v>5750</x:v>
      </x:c>
      <x:c r="L158" s="22" t="n">
        <x:f>E158*3.5</x:f>
        <x:v>8050</x:v>
      </x:c>
      <x:c r="M158" s="22" t="n">
        <x:f>E158*4.5</x:f>
        <x:v>10350</x:v>
      </x:c>
      <x:c r="N158" s="22" t="n">
        <x:f>E158*5.5</x:f>
        <x:v>12650</x:v>
      </x:c>
      <x:c r="O158" s="22" t="n">
        <x:f>E158*7.5</x:f>
        <x:v>17250</x:v>
      </x:c>
      <x:c r="P158" s="22" t="n">
        <x:f>E158*9.5</x:f>
        <x:v>21850</x:v>
      </x:c>
      <x:c r="Q158" s="18" t="str">
        <x:v>Узкая долина среди гор</x:v>
      </x:c>
      <x:c r="R158" s="18" t="str">
        <x:v>Проектный профиль v1</x:v>
      </x:c>
      <x:c r="S158" s="18" t="str">
        <x:v>Экспертная классификация проекта</x:v>
      </x:c>
    </x:row>
    <x:row r="159">
      <x:c r="A159" s="18" t="str">
        <x:v>Гималаи</x:v>
      </x:c>
      <x:c r="B159" s="18" t="str">
        <x:v>Индия</x:v>
      </x:c>
      <x:c r="C159" s="18" t="str">
        <x:v>Азия</x:v>
      </x:c>
      <x:c r="D159" s="18" t="str">
        <x:v>P6</x:v>
      </x:c>
      <x:c r="E159" s="22" t="n">
        <x:v>14000</x:v>
      </x:c>
      <x:c r="F159" s="22" t="n">
        <x:v>1</x:v>
      </x:c>
      <x:c r="G159" s="22" t="n">
        <x:v>12</x:v>
      </x:c>
      <x:c r="H159" s="22" t="n">
        <x:v>0.3</x:v>
      </x:c>
      <x:c r="I159" s="22" t="n">
        <x:v>1.35</x:v>
      </x:c>
      <x:c r="J159" s="22" t="n">
        <x:f>E159*1.5</x:f>
        <x:v>21000</x:v>
      </x:c>
      <x:c r="K159" s="22" t="n">
        <x:f>E159*2.5</x:f>
        <x:v>35000</x:v>
      </x:c>
      <x:c r="L159" s="22" t="n">
        <x:f>E159*3.5</x:f>
        <x:v>49000</x:v>
      </x:c>
      <x:c r="M159" s="22" t="n">
        <x:f>E159*4.5</x:f>
        <x:v>63000</x:v>
      </x:c>
      <x:c r="N159" s="22" t="n">
        <x:f>E159*5.5</x:f>
        <x:v>77000</x:v>
      </x:c>
      <x:c r="O159" s="22" t="n">
        <x:f>E159*7.5</x:f>
        <x:v>105000</x:v>
      </x:c>
      <x:c r="P159" s="22" t="n">
        <x:f>E159*9.5</x:f>
        <x:v>133000</x:v>
      </x:c>
      <x:c r="Q159" s="18" t="str">
        <x:v>Горные долины и перевалы</x:v>
      </x:c>
      <x:c r="R159" s="18" t="str">
        <x:v>Проектный профиль v1</x:v>
      </x:c>
      <x:c r="S159" s="18" t="str">
        <x:v>Экспертная классификация проекта</x:v>
      </x:c>
    </x:row>
    <x:row r="160">
      <x:c r="A160" s="18" t="str">
        <x:v>Долина Инда</x:v>
      </x:c>
      <x:c r="B160" s="18" t="str">
        <x:v>Индостан</x:v>
      </x:c>
      <x:c r="C160" s="18" t="str">
        <x:v>Азия</x:v>
      </x:c>
      <x:c r="D160" s="18" t="str">
        <x:v>P3</x:v>
      </x:c>
      <x:c r="E160" s="22" t="n">
        <x:v>2600</x:v>
      </x:c>
      <x:c r="F160" s="22" t="n">
        <x:v>1</x:v>
      </x:c>
      <x:c r="G160" s="22" t="n">
        <x:v>16</x:v>
      </x:c>
      <x:c r="H160" s="22" t="n">
        <x:v>1.25</x:v>
      </x:c>
      <x:c r="I160" s="22" t="n">
        <x:v>1.05</x:v>
      </x:c>
      <x:c r="J160" s="22" t="n">
        <x:f>E160*1.5</x:f>
        <x:v>3900</x:v>
      </x:c>
      <x:c r="K160" s="22" t="n">
        <x:f>E160*2.5</x:f>
        <x:v>6500</x:v>
      </x:c>
      <x:c r="L160" s="22" t="n">
        <x:f>E160*3.5</x:f>
        <x:v>9100</x:v>
      </x:c>
      <x:c r="M160" s="22" t="n">
        <x:f>E160*4.5</x:f>
        <x:v>11700</x:v>
      </x:c>
      <x:c r="N160" s="22" t="n">
        <x:f>E160*5.5</x:f>
        <x:v>14300</x:v>
      </x:c>
      <x:c r="O160" s="22" t="n">
        <x:f>E160*7.5</x:f>
        <x:v>19500</x:v>
      </x:c>
      <x:c r="P160" s="22" t="n">
        <x:f>E160*9.5</x:f>
        <x:v>24700</x:v>
      </x:c>
      <x:c r="Q160" s="18" t="str">
        <x:v>Речная полоса и пустынные окраины</x:v>
      </x:c>
      <x:c r="R160" s="18" t="str">
        <x:v>Проектный профиль v1</x:v>
      </x:c>
      <x:c r="S160" s="18" t="str">
        <x:v>Экспертная классификация проекта</x:v>
      </x:c>
    </x:row>
    <x:row r="161">
      <x:c r="A161" s="18" t="str">
        <x:v>Белуджистан</x:v>
      </x:c>
      <x:c r="B161" s="18" t="str">
        <x:v>Индостан</x:v>
      </x:c>
      <x:c r="C161" s="18" t="str">
        <x:v>Азия</x:v>
      </x:c>
      <x:c r="D161" s="18" t="str">
        <x:v>P7</x:v>
      </x:c>
      <x:c r="E161" s="22" t="n">
        <x:v>30000</x:v>
      </x:c>
      <x:c r="F161" s="22" t="n">
        <x:v>1</x:v>
      </x:c>
      <x:c r="G161" s="22" t="n">
        <x:v>12</x:v>
      </x:c>
      <x:c r="H161" s="22" t="n">
        <x:v>0.18</x:v>
      </x:c>
      <x:c r="I161" s="22" t="n">
        <x:v>1.25</x:v>
      </x:c>
      <x:c r="J161" s="22" t="n">
        <x:f>E161*1.5</x:f>
        <x:v>45000</x:v>
      </x:c>
      <x:c r="K161" s="22" t="n">
        <x:f>E161*2.5</x:f>
        <x:v>75000</x:v>
      </x:c>
      <x:c r="L161" s="22" t="n">
        <x:f>E161*3.5</x:f>
        <x:v>105000</x:v>
      </x:c>
      <x:c r="M161" s="22" t="n">
        <x:f>E161*4.5</x:f>
        <x:v>135000</x:v>
      </x:c>
      <x:c r="N161" s="22" t="n">
        <x:f>E161*5.5</x:f>
        <x:v>165000</x:v>
      </x:c>
      <x:c r="O161" s="22" t="n">
        <x:f>E161*7.5</x:f>
        <x:v>225000</x:v>
      </x:c>
      <x:c r="P161" s="22" t="n">
        <x:f>E161*9.5</x:f>
        <x:v>285000</x:v>
      </x:c>
      <x:c r="Q161" s="18" t="str">
        <x:v>Горы, пустыни и редкая сеть</x:v>
      </x:c>
      <x:c r="R161" s="18" t="str">
        <x:v>Проектный профиль v1</x:v>
      </x:c>
      <x:c r="S161" s="18" t="str">
        <x:v>Экспертная классификация проекта</x:v>
      </x:c>
    </x:row>
    <x:row r="162">
      <x:c r="A162" s="18" t="str">
        <x:v>Кабул и Гиндукуш</x:v>
      </x:c>
      <x:c r="B162" s="18" t="str">
        <x:v>Индостан</x:v>
      </x:c>
      <x:c r="C162" s="18" t="str">
        <x:v>Азия</x:v>
      </x:c>
      <x:c r="D162" s="18" t="str">
        <x:v>P6</x:v>
      </x:c>
      <x:c r="E162" s="22" t="n">
        <x:v>12000</x:v>
      </x:c>
      <x:c r="F162" s="22" t="n">
        <x:v>1</x:v>
      </x:c>
      <x:c r="G162" s="22" t="n">
        <x:v>14</x:v>
      </x:c>
      <x:c r="H162" s="22" t="n">
        <x:v>0.4</x:v>
      </x:c>
      <x:c r="I162" s="22" t="n">
        <x:v>1.35</x:v>
      </x:c>
      <x:c r="J162" s="22" t="n">
        <x:f>E162*1.5</x:f>
        <x:v>18000</x:v>
      </x:c>
      <x:c r="K162" s="22" t="n">
        <x:f>E162*2.5</x:f>
        <x:v>30000</x:v>
      </x:c>
      <x:c r="L162" s="22" t="n">
        <x:f>E162*3.5</x:f>
        <x:v>42000</x:v>
      </x:c>
      <x:c r="M162" s="22" t="n">
        <x:f>E162*4.5</x:f>
        <x:v>54000</x:v>
      </x:c>
      <x:c r="N162" s="22" t="n">
        <x:f>E162*5.5</x:f>
        <x:v>66000</x:v>
      </x:c>
      <x:c r="O162" s="22" t="n">
        <x:f>E162*7.5</x:f>
        <x:v>90000</x:v>
      </x:c>
      <x:c r="P162" s="22" t="n">
        <x:f>E162*9.5</x:f>
        <x:v>114000</x:v>
      </x:c>
      <x:c r="Q162" s="18" t="str">
        <x:v>Горные долины и стратегические проходы</x:v>
      </x:c>
      <x:c r="R162" s="18" t="str">
        <x:v>Проектный профиль v1</x:v>
      </x:c>
      <x:c r="S162" s="18" t="str">
        <x:v>Экспертная классификация проекта</x:v>
      </x:c>
    </x:row>
    <x:row r="163">
      <x:c r="A163" s="18" t="str">
        <x:v>Иравади</x:v>
      </x:c>
      <x:c r="B163" s="18" t="str">
        <x:v>Юго-Восточная Азия</x:v>
      </x:c>
      <x:c r="C163" s="18" t="str">
        <x:v>Азия</x:v>
      </x:c>
      <x:c r="D163" s="18" t="str">
        <x:v>P3</x:v>
      </x:c>
      <x:c r="E163" s="22" t="n">
        <x:v>2200</x:v>
      </x:c>
      <x:c r="F163" s="22" t="n">
        <x:v>1</x:v>
      </x:c>
      <x:c r="G163" s="22" t="n">
        <x:v>16</x:v>
      </x:c>
      <x:c r="H163" s="22" t="n">
        <x:v>1.3</x:v>
      </x:c>
      <x:c r="I163" s="22" t="n">
        <x:v>1.1</x:v>
      </x:c>
      <x:c r="J163" s="22" t="n">
        <x:f>E163*1.5</x:f>
        <x:v>3300</x:v>
      </x:c>
      <x:c r="K163" s="22" t="n">
        <x:f>E163*2.5</x:f>
        <x:v>5500</x:v>
      </x:c>
      <x:c r="L163" s="22" t="n">
        <x:f>E163*3.5</x:f>
        <x:v>7700</x:v>
      </x:c>
      <x:c r="M163" s="22" t="n">
        <x:f>E163*4.5</x:f>
        <x:v>9900</x:v>
      </x:c>
      <x:c r="N163" s="22" t="n">
        <x:f>E163*5.5</x:f>
        <x:v>12100</x:v>
      </x:c>
      <x:c r="O163" s="22" t="n">
        <x:f>E163*7.5</x:f>
        <x:v>16500</x:v>
      </x:c>
      <x:c r="P163" s="22" t="n">
        <x:f>E163*9.5</x:f>
        <x:v>20900</x:v>
      </x:c>
      <x:c r="Q163" s="18" t="str">
        <x:v>Речная равнина и города</x:v>
      </x:c>
      <x:c r="R163" s="18" t="str">
        <x:v>Проектный профиль v1</x:v>
      </x:c>
      <x:c r="S163" s="18" t="str">
        <x:v>Экспертная классификация проекта</x:v>
      </x:c>
    </x:row>
    <x:row r="164">
      <x:c r="A164" s="18" t="str">
        <x:v>Дельта Меконга</x:v>
      </x:c>
      <x:c r="B164" s="18" t="str">
        <x:v>Юго-Восточная Азия</x:v>
      </x:c>
      <x:c r="C164" s="18" t="str">
        <x:v>Азия</x:v>
      </x:c>
      <x:c r="D164" s="18" t="str">
        <x:v>P2</x:v>
      </x:c>
      <x:c r="E164" s="22" t="n">
        <x:v>1000</x:v>
      </x:c>
      <x:c r="F164" s="22" t="n">
        <x:v>1</x:v>
      </x:c>
      <x:c r="G164" s="22" t="n">
        <x:v>14</x:v>
      </x:c>
      <x:c r="H164" s="22" t="n">
        <x:v>1.9</x:v>
      </x:c>
      <x:c r="I164" s="22" t="n">
        <x:v>1.15</x:v>
      </x:c>
      <x:c r="J164" s="22" t="n">
        <x:f>E164*1.5</x:f>
        <x:v>1500</x:v>
      </x:c>
      <x:c r="K164" s="22" t="n">
        <x:f>E164*2.5</x:f>
        <x:v>2500</x:v>
      </x:c>
      <x:c r="L164" s="22" t="n">
        <x:f>E164*3.5</x:f>
        <x:v>3500</x:v>
      </x:c>
      <x:c r="M164" s="22" t="n">
        <x:f>E164*4.5</x:f>
        <x:v>4500</x:v>
      </x:c>
      <x:c r="N164" s="22" t="n">
        <x:f>E164*5.5</x:f>
        <x:v>5500</x:v>
      </x:c>
      <x:c r="O164" s="22" t="n">
        <x:f>E164*7.5</x:f>
        <x:v>7500</x:v>
      </x:c>
      <x:c r="P164" s="22" t="n">
        <x:f>E164*9.5</x:f>
        <x:v>9500</x:v>
      </x:c>
      <x:c r="Q164" s="18" t="str">
        <x:v>Сверхплотная рисовая дельта</x:v>
      </x:c>
      <x:c r="R164" s="18" t="str">
        <x:v>Проектный профиль v1</x:v>
      </x:c>
      <x:c r="S164" s="18" t="str">
        <x:v>Экспертная классификация проекта</x:v>
      </x:c>
    </x:row>
    <x:row r="165">
      <x:c r="A165" s="18" t="str">
        <x:v>Долина Красной реки</x:v>
      </x:c>
      <x:c r="B165" s="18" t="str">
        <x:v>Юго-Восточная Азия</x:v>
      </x:c>
      <x:c r="C165" s="18" t="str">
        <x:v>Азия</x:v>
      </x:c>
      <x:c r="D165" s="18" t="str">
        <x:v>P2</x:v>
      </x:c>
      <x:c r="E165" s="22" t="n">
        <x:v>1100</x:v>
      </x:c>
      <x:c r="F165" s="22" t="n">
        <x:v>1</x:v>
      </x:c>
      <x:c r="G165" s="22" t="n">
        <x:v>14</x:v>
      </x:c>
      <x:c r="H165" s="22" t="n">
        <x:v>1.85</x:v>
      </x:c>
      <x:c r="I165" s="22" t="n">
        <x:v>1.15</x:v>
      </x:c>
      <x:c r="J165" s="22" t="n">
        <x:f>E165*1.5</x:f>
        <x:v>1650</x:v>
      </x:c>
      <x:c r="K165" s="22" t="n">
        <x:f>E165*2.5</x:f>
        <x:v>2750</x:v>
      </x:c>
      <x:c r="L165" s="22" t="n">
        <x:f>E165*3.5</x:f>
        <x:v>3850</x:v>
      </x:c>
      <x:c r="M165" s="22" t="n">
        <x:f>E165*4.5</x:f>
        <x:v>4950</x:v>
      </x:c>
      <x:c r="N165" s="22" t="n">
        <x:f>E165*5.5</x:f>
        <x:v>6050</x:v>
      </x:c>
      <x:c r="O165" s="22" t="n">
        <x:f>E165*7.5</x:f>
        <x:v>8250</x:v>
      </x:c>
      <x:c r="P165" s="22" t="n">
        <x:f>E165*9.5</x:f>
        <x:v>10450</x:v>
      </x:c>
      <x:c r="Q165" s="18" t="str">
        <x:v>Плотная дельта и города</x:v>
      </x:c>
      <x:c r="R165" s="18" t="str">
        <x:v>Проектный профиль v1</x:v>
      </x:c>
      <x:c r="S165" s="18" t="str">
        <x:v>Экспертная классификация проекта</x:v>
      </x:c>
    </x:row>
    <x:row r="166">
      <x:c r="A166" s="18" t="str">
        <x:v>Центральный Таиланд</x:v>
      </x:c>
      <x:c r="B166" s="18" t="str">
        <x:v>Юго-Восточная Азия</x:v>
      </x:c>
      <x:c r="C166" s="18" t="str">
        <x:v>Азия</x:v>
      </x:c>
      <x:c r="D166" s="18" t="str">
        <x:v>P2</x:v>
      </x:c>
      <x:c r="E166" s="22" t="n">
        <x:v>1400</x:v>
      </x:c>
      <x:c r="F166" s="22" t="n">
        <x:v>1</x:v>
      </x:c>
      <x:c r="G166" s="22" t="n">
        <x:v>14</x:v>
      </x:c>
      <x:c r="H166" s="22" t="n">
        <x:v>1.65</x:v>
      </x:c>
      <x:c r="I166" s="22" t="n">
        <x:v>1.1</x:v>
      </x:c>
      <x:c r="J166" s="22" t="n">
        <x:f>E166*1.5</x:f>
        <x:v>2100</x:v>
      </x:c>
      <x:c r="K166" s="22" t="n">
        <x:f>E166*2.5</x:f>
        <x:v>3500</x:v>
      </x:c>
      <x:c r="L166" s="22" t="n">
        <x:f>E166*3.5</x:f>
        <x:v>4900</x:v>
      </x:c>
      <x:c r="M166" s="22" t="n">
        <x:f>E166*4.5</x:f>
        <x:v>6300</x:v>
      </x:c>
      <x:c r="N166" s="22" t="n">
        <x:f>E166*5.5</x:f>
        <x:v>7700</x:v>
      </x:c>
      <x:c r="O166" s="22" t="n">
        <x:f>E166*7.5</x:f>
        <x:v>10500</x:v>
      </x:c>
      <x:c r="P166" s="22" t="n">
        <x:f>E166*9.5</x:f>
        <x:v>13300</x:v>
      </x:c>
      <x:c r="Q166" s="18" t="str">
        <x:v>Рисовая равнина и Бангкок</x:v>
      </x:c>
      <x:c r="R166" s="18" t="str">
        <x:v>Проектный профиль v1</x:v>
      </x:c>
      <x:c r="S166" s="18" t="str">
        <x:v>Экспертная классификация проекта</x:v>
      </x:c>
    </x:row>
    <x:row r="167">
      <x:c r="A167" s="18" t="str">
        <x:v>Малайский полуостров</x:v>
      </x:c>
      <x:c r="B167" s="18" t="str">
        <x:v>Юго-Восточная Азия</x:v>
      </x:c>
      <x:c r="C167" s="18" t="str">
        <x:v>Азия</x:v>
      </x:c>
      <x:c r="D167" s="18" t="str">
        <x:v>P3</x:v>
      </x:c>
      <x:c r="E167" s="22" t="n">
        <x:v>2200</x:v>
      </x:c>
      <x:c r="F167" s="22" t="n">
        <x:v>1</x:v>
      </x:c>
      <x:c r="G167" s="22" t="n">
        <x:v>14</x:v>
      </x:c>
      <x:c r="H167" s="22" t="n">
        <x:v>1.25</x:v>
      </x:c>
      <x:c r="I167" s="22" t="n">
        <x:v>1.25</x:v>
      </x:c>
      <x:c r="J167" s="22" t="n">
        <x:f>E167*1.5</x:f>
        <x:v>3300</x:v>
      </x:c>
      <x:c r="K167" s="22" t="n">
        <x:f>E167*2.5</x:f>
        <x:v>5500</x:v>
      </x:c>
      <x:c r="L167" s="22" t="n">
        <x:f>E167*3.5</x:f>
        <x:v>7700</x:v>
      </x:c>
      <x:c r="M167" s="22" t="n">
        <x:f>E167*4.5</x:f>
        <x:v>9900</x:v>
      </x:c>
      <x:c r="N167" s="22" t="n">
        <x:f>E167*5.5</x:f>
        <x:v>12100</x:v>
      </x:c>
      <x:c r="O167" s="22" t="n">
        <x:f>E167*7.5</x:f>
        <x:v>16500</x:v>
      </x:c>
      <x:c r="P167" s="22" t="n">
        <x:f>E167*9.5</x:f>
        <x:v>20900</x:v>
      </x:c>
      <x:c r="Q167" s="18" t="str">
        <x:v>Узкий полуостров, порты и горы</x:v>
      </x:c>
      <x:c r="R167" s="18" t="str">
        <x:v>Проектный профиль v1</x:v>
      </x:c>
      <x:c r="S167" s="18" t="str">
        <x:v>Экспертная классификация проекта</x:v>
      </x:c>
    </x:row>
    <x:row r="168">
      <x:c r="A168" s="18" t="str">
        <x:v>Нагорья Индокитая</x:v>
      </x:c>
      <x:c r="B168" s="18" t="str">
        <x:v>Юго-Восточная Азия</x:v>
      </x:c>
      <x:c r="C168" s="18" t="str">
        <x:v>Азия</x:v>
      </x:c>
      <x:c r="D168" s="18" t="str">
        <x:v>P4</x:v>
      </x:c>
      <x:c r="E168" s="22" t="n">
        <x:v>4500</x:v>
      </x:c>
      <x:c r="F168" s="22" t="n">
        <x:v>1</x:v>
      </x:c>
      <x:c r="G168" s="22" t="n">
        <x:v>14</x:v>
      </x:c>
      <x:c r="H168" s="22" t="n">
        <x:v>0.75</x:v>
      </x:c>
      <x:c r="I168" s="22" t="n">
        <x:v>1.25</x:v>
      </x:c>
      <x:c r="J168" s="22" t="n">
        <x:f>E168*1.5</x:f>
        <x:v>6750</x:v>
      </x:c>
      <x:c r="K168" s="22" t="n">
        <x:f>E168*2.5</x:f>
        <x:v>11250</x:v>
      </x:c>
      <x:c r="L168" s="22" t="n">
        <x:f>E168*3.5</x:f>
        <x:v>15750</x:v>
      </x:c>
      <x:c r="M168" s="22" t="n">
        <x:f>E168*4.5</x:f>
        <x:v>20250</x:v>
      </x:c>
      <x:c r="N168" s="22" t="n">
        <x:f>E168*5.5</x:f>
        <x:v>24750</x:v>
      </x:c>
      <x:c r="O168" s="22" t="n">
        <x:f>E168*7.5</x:f>
        <x:v>33750</x:v>
      </x:c>
      <x:c r="P168" s="22" t="n">
        <x:f>E168*9.5</x:f>
        <x:v>42750</x:v>
      </x:c>
      <x:c r="Q168" s="18" t="str">
        <x:v>Горы, леса и долины</x:v>
      </x:c>
      <x:c r="R168" s="18" t="str">
        <x:v>Проектный профиль v1</x:v>
      </x:c>
      <x:c r="S168" s="18" t="str">
        <x:v>Экспертная классификация проекта</x:v>
      </x:c>
    </x:row>
    <x:row r="169">
      <x:c r="A169" s="18" t="str">
        <x:v>Филиппинский Лусон</x:v>
      </x:c>
      <x:c r="B169" s="18" t="str">
        <x:v>Юго-Восточная Азия</x:v>
      </x:c>
      <x:c r="C169" s="18" t="str">
        <x:v>Азия</x:v>
      </x:c>
      <x:c r="D169" s="18" t="str">
        <x:v>P3</x:v>
      </x:c>
      <x:c r="E169" s="22" t="n">
        <x:v>2000</x:v>
      </x:c>
      <x:c r="F169" s="22" t="n">
        <x:v>1</x:v>
      </x:c>
      <x:c r="G169" s="22" t="n">
        <x:v>14</x:v>
      </x:c>
      <x:c r="H169" s="22" t="n">
        <x:v>1.35</x:v>
      </x:c>
      <x:c r="I169" s="22" t="n">
        <x:v>1.3</x:v>
      </x:c>
      <x:c r="J169" s="22" t="n">
        <x:f>E169*1.5</x:f>
        <x:v>3000</x:v>
      </x:c>
      <x:c r="K169" s="22" t="n">
        <x:f>E169*2.5</x:f>
        <x:v>5000</x:v>
      </x:c>
      <x:c r="L169" s="22" t="n">
        <x:f>E169*3.5</x:f>
        <x:v>7000</x:v>
      </x:c>
      <x:c r="M169" s="22" t="n">
        <x:f>E169*4.5</x:f>
        <x:v>9000</x:v>
      </x:c>
      <x:c r="N169" s="22" t="n">
        <x:f>E169*5.5</x:f>
        <x:v>11000</x:v>
      </x:c>
      <x:c r="O169" s="22" t="n">
        <x:f>E169*7.5</x:f>
        <x:v>15000</x:v>
      </x:c>
      <x:c r="P169" s="22" t="n">
        <x:f>E169*9.5</x:f>
        <x:v>19000</x:v>
      </x:c>
      <x:c r="Q169" s="18" t="str">
        <x:v>Остров, горы и плотные равнины</x:v>
      </x:c>
      <x:c r="R169" s="18" t="str">
        <x:v>Проектный профиль v1</x:v>
      </x:c>
      <x:c r="S169" s="18" t="str">
        <x:v>Экспертная классификация проекта</x:v>
      </x:c>
    </x:row>
    <x:row r="170">
      <x:c r="A170" s="18" t="str">
        <x:v>Южные Филиппины</x:v>
      </x:c>
      <x:c r="B170" s="18" t="str">
        <x:v>Юго-Восточная Азия</x:v>
      </x:c>
      <x:c r="C170" s="18" t="str">
        <x:v>Азия</x:v>
      </x:c>
      <x:c r="D170" s="18" t="str">
        <x:v>P4</x:v>
      </x:c>
      <x:c r="E170" s="22" t="n">
        <x:v>3000</x:v>
      </x:c>
      <x:c r="F170" s="22" t="n">
        <x:v>1</x:v>
      </x:c>
      <x:c r="G170" s="22" t="n">
        <x:v>12</x:v>
      </x:c>
      <x:c r="H170" s="22" t="n">
        <x:v>0.95</x:v>
      </x:c>
      <x:c r="I170" s="22" t="n">
        <x:v>1.35</x:v>
      </x:c>
      <x:c r="J170" s="22" t="n">
        <x:f>E170*1.5</x:f>
        <x:v>4500</x:v>
      </x:c>
      <x:c r="K170" s="22" t="n">
        <x:f>E170*2.5</x:f>
        <x:v>7500</x:v>
      </x:c>
      <x:c r="L170" s="22" t="n">
        <x:f>E170*3.5</x:f>
        <x:v>10500</x:v>
      </x:c>
      <x:c r="M170" s="22" t="n">
        <x:f>E170*4.5</x:f>
        <x:v>13500</x:v>
      </x:c>
      <x:c r="N170" s="22" t="n">
        <x:f>E170*5.5</x:f>
        <x:v>16500</x:v>
      </x:c>
      <x:c r="O170" s="22" t="n">
        <x:f>E170*7.5</x:f>
        <x:v>22500</x:v>
      </x:c>
      <x:c r="P170" s="22" t="n">
        <x:f>E170*9.5</x:f>
        <x:v>28500</x:v>
      </x:c>
      <x:c r="Q170" s="18" t="str">
        <x:v>Архипелаги и горы</x:v>
      </x:c>
      <x:c r="R170" s="18" t="str">
        <x:v>Проектный профиль v1</x:v>
      </x:c>
      <x:c r="S170" s="18" t="str">
        <x:v>Экспертная классификация проекта</x:v>
      </x:c>
    </x:row>
    <x:row r="171">
      <x:c r="A171" s="18" t="str">
        <x:v>Ява</x:v>
      </x:c>
      <x:c r="B171" s="18" t="str">
        <x:v>Индонезия</x:v>
      </x:c>
      <x:c r="C171" s="18" t="str">
        <x:v>Азия</x:v>
      </x:c>
      <x:c r="D171" s="18" t="str">
        <x:v>P1</x:v>
      </x:c>
      <x:c r="E171" s="22" t="n">
        <x:v>700</x:v>
      </x:c>
      <x:c r="F171" s="22" t="n">
        <x:v>1</x:v>
      </x:c>
      <x:c r="G171" s="22" t="n">
        <x:v>14</x:v>
      </x:c>
      <x:c r="H171" s="22" t="n">
        <x:v>2.1</x:v>
      </x:c>
      <x:c r="I171" s="22" t="n">
        <x:v>1.2</x:v>
      </x:c>
      <x:c r="J171" s="22" t="n">
        <x:f>E171*1.5</x:f>
        <x:v>1050</x:v>
      </x:c>
      <x:c r="K171" s="22" t="n">
        <x:f>E171*2.5</x:f>
        <x:v>1750</x:v>
      </x:c>
      <x:c r="L171" s="22" t="n">
        <x:f>E171*3.5</x:f>
        <x:v>2450</x:v>
      </x:c>
      <x:c r="M171" s="22" t="n">
        <x:f>E171*4.5</x:f>
        <x:v>3150</x:v>
      </x:c>
      <x:c r="N171" s="22" t="n">
        <x:f>E171*5.5</x:f>
        <x:v>3850</x:v>
      </x:c>
      <x:c r="O171" s="22" t="n">
        <x:f>E171*7.5</x:f>
        <x:v>5250</x:v>
      </x:c>
      <x:c r="P171" s="22" t="n">
        <x:f>E171*9.5</x:f>
        <x:v>6650</x:v>
      </x:c>
      <x:c r="Q171" s="18" t="str">
        <x:v>Сверхплотный остров</x:v>
      </x:c>
      <x:c r="R171" s="18" t="str">
        <x:v>Проектный профиль v1</x:v>
      </x:c>
      <x:c r="S171" s="18" t="str">
        <x:v>Экспертная классификация проекта</x:v>
      </x:c>
    </x:row>
    <x:row r="172">
      <x:c r="A172" s="18" t="str">
        <x:v>Суматра</x:v>
      </x:c>
      <x:c r="B172" s="18" t="str">
        <x:v>Индонезия</x:v>
      </x:c>
      <x:c r="C172" s="18" t="str">
        <x:v>Азия</x:v>
      </x:c>
      <x:c r="D172" s="18" t="str">
        <x:v>P4</x:v>
      </x:c>
      <x:c r="E172" s="22" t="n">
        <x:v>3500</x:v>
      </x:c>
      <x:c r="F172" s="22" t="n">
        <x:v>1</x:v>
      </x:c>
      <x:c r="G172" s="22" t="n">
        <x:v>14</x:v>
      </x:c>
      <x:c r="H172" s="22" t="n">
        <x:v>0.9</x:v>
      </x:c>
      <x:c r="I172" s="22" t="n">
        <x:v>1.2</x:v>
      </x:c>
      <x:c r="J172" s="22" t="n">
        <x:f>E172*1.5</x:f>
        <x:v>5250</x:v>
      </x:c>
      <x:c r="K172" s="22" t="n">
        <x:f>E172*2.5</x:f>
        <x:v>8750</x:v>
      </x:c>
      <x:c r="L172" s="22" t="n">
        <x:f>E172*3.5</x:f>
        <x:v>12250</x:v>
      </x:c>
      <x:c r="M172" s="22" t="n">
        <x:f>E172*4.5</x:f>
        <x:v>15750</x:v>
      </x:c>
      <x:c r="N172" s="22" t="n">
        <x:f>E172*5.5</x:f>
        <x:v>19250</x:v>
      </x:c>
      <x:c r="O172" s="22" t="n">
        <x:f>E172*7.5</x:f>
        <x:v>26250</x:v>
      </x:c>
      <x:c r="P172" s="22" t="n">
        <x:f>E172*9.5</x:f>
        <x:v>33250</x:v>
      </x:c>
      <x:c r="Q172" s="18" t="str">
        <x:v>Горы, леса и прибрежные центры</x:v>
      </x:c>
      <x:c r="R172" s="18" t="str">
        <x:v>Проектный профиль v1</x:v>
      </x:c>
      <x:c r="S172" s="18" t="str">
        <x:v>Экспертная классификация проекта</x:v>
      </x:c>
    </x:row>
    <x:row r="173">
      <x:c r="A173" s="18" t="str">
        <x:v>Борнео</x:v>
      </x:c>
      <x:c r="B173" s="18" t="str">
        <x:v>Индонезия</x:v>
      </x:c>
      <x:c r="C173" s="18" t="str">
        <x:v>Азия</x:v>
      </x:c>
      <x:c r="D173" s="18" t="str">
        <x:v>P5</x:v>
      </x:c>
      <x:c r="E173" s="22" t="n">
        <x:v>9000</x:v>
      </x:c>
      <x:c r="F173" s="22" t="n">
        <x:v>1</x:v>
      </x:c>
      <x:c r="G173" s="22" t="n">
        <x:v>14</x:v>
      </x:c>
      <x:c r="H173" s="22" t="n">
        <x:v>0.45</x:v>
      </x:c>
      <x:c r="I173" s="22" t="n">
        <x:v>1.15</x:v>
      </x:c>
      <x:c r="J173" s="22" t="n">
        <x:f>E173*1.5</x:f>
        <x:v>13500</x:v>
      </x:c>
      <x:c r="K173" s="22" t="n">
        <x:f>E173*2.5</x:f>
        <x:v>22500</x:v>
      </x:c>
      <x:c r="L173" s="22" t="n">
        <x:f>E173*3.5</x:f>
        <x:v>31500</x:v>
      </x:c>
      <x:c r="M173" s="22" t="n">
        <x:f>E173*4.5</x:f>
        <x:v>40500</x:v>
      </x:c>
      <x:c r="N173" s="22" t="n">
        <x:f>E173*5.5</x:f>
        <x:v>49500</x:v>
      </x:c>
      <x:c r="O173" s="22" t="n">
        <x:f>E173*7.5</x:f>
        <x:v>67500</x:v>
      </x:c>
      <x:c r="P173" s="22" t="n">
        <x:f>E173*9.5</x:f>
        <x:v>85500</x:v>
      </x:c>
      <x:c r="Q173" s="18" t="str">
        <x:v>Крупные лесные территории</x:v>
      </x:c>
      <x:c r="R173" s="18" t="str">
        <x:v>Проектный профиль v1</x:v>
      </x:c>
      <x:c r="S173" s="18" t="str">
        <x:v>Экспертная классификация проекта</x:v>
      </x:c>
    </x:row>
    <x:row r="174">
      <x:c r="A174" s="18" t="str">
        <x:v>Сулавеси</x:v>
      </x:c>
      <x:c r="B174" s="18" t="str">
        <x:v>Индонезия</x:v>
      </x:c>
      <x:c r="C174" s="18" t="str">
        <x:v>Азия</x:v>
      </x:c>
      <x:c r="D174" s="18" t="str">
        <x:v>P4</x:v>
      </x:c>
      <x:c r="E174" s="22" t="n">
        <x:v>3000</x:v>
      </x:c>
      <x:c r="F174" s="22" t="n">
        <x:v>1</x:v>
      </x:c>
      <x:c r="G174" s="22" t="n">
        <x:v>14</x:v>
      </x:c>
      <x:c r="H174" s="22" t="n">
        <x:v>0.85</x:v>
      </x:c>
      <x:c r="I174" s="22" t="n">
        <x:v>1.4</x:v>
      </x:c>
      <x:c r="J174" s="22" t="n">
        <x:f>E174*1.5</x:f>
        <x:v>4500</x:v>
      </x:c>
      <x:c r="K174" s="22" t="n">
        <x:f>E174*2.5</x:f>
        <x:v>7500</x:v>
      </x:c>
      <x:c r="L174" s="22" t="n">
        <x:f>E174*3.5</x:f>
        <x:v>10500</x:v>
      </x:c>
      <x:c r="M174" s="22" t="n">
        <x:f>E174*4.5</x:f>
        <x:v>13500</x:v>
      </x:c>
      <x:c r="N174" s="22" t="n">
        <x:f>E174*5.5</x:f>
        <x:v>16500</x:v>
      </x:c>
      <x:c r="O174" s="22" t="n">
        <x:f>E174*7.5</x:f>
        <x:v>22500</x:v>
      </x:c>
      <x:c r="P174" s="22" t="n">
        <x:f>E174*9.5</x:f>
        <x:v>28500</x:v>
      </x:c>
      <x:c r="Q174" s="18" t="str">
        <x:v>Сложный полуостровной силуэт</x:v>
      </x:c>
      <x:c r="R174" s="18" t="str">
        <x:v>Проектный профиль v1</x:v>
      </x:c>
      <x:c r="S174" s="18" t="str">
        <x:v>Экспертная классификация проекта</x:v>
      </x:c>
    </x:row>
    <x:row r="175">
      <x:c r="A175" s="18" t="str">
        <x:v>Малые Зондские острова</x:v>
      </x:c>
      <x:c r="B175" s="18" t="str">
        <x:v>Индонезия</x:v>
      </x:c>
      <x:c r="C175" s="18" t="str">
        <x:v>Азия</x:v>
      </x:c>
      <x:c r="D175" s="18" t="str">
        <x:v>P3</x:v>
      </x:c>
      <x:c r="E175" s="22" t="n">
        <x:v>1800</x:v>
      </x:c>
      <x:c r="F175" s="22" t="n">
        <x:v>1</x:v>
      </x:c>
      <x:c r="G175" s="22" t="n">
        <x:v>10</x:v>
      </x:c>
      <x:c r="H175" s="22" t="n">
        <x:v>0.95</x:v>
      </x:c>
      <x:c r="I175" s="22" t="n">
        <x:v>1.4</x:v>
      </x:c>
      <x:c r="J175" s="22" t="n">
        <x:f>E175*1.5</x:f>
        <x:v>2700</x:v>
      </x:c>
      <x:c r="K175" s="22" t="n">
        <x:f>E175*2.5</x:f>
        <x:v>4500</x:v>
      </x:c>
      <x:c r="L175" s="22" t="n">
        <x:f>E175*3.5</x:f>
        <x:v>6300</x:v>
      </x:c>
      <x:c r="M175" s="22" t="n">
        <x:f>E175*4.5</x:f>
        <x:v>8100</x:v>
      </x:c>
      <x:c r="N175" s="22" t="n">
        <x:f>E175*5.5</x:f>
        <x:v>9900</x:v>
      </x:c>
      <x:c r="O175" s="22" t="n">
        <x:f>E175*7.5</x:f>
        <x:v>13500</x:v>
      </x:c>
      <x:c r="P175" s="22" t="n">
        <x:f>E175*9.5</x:f>
        <x:v>17100</x:v>
      </x:c>
      <x:c r="Q175" s="18" t="str">
        <x:v>Островная геометрия</x:v>
      </x:c>
      <x:c r="R175" s="18" t="str">
        <x:v>Проектный профиль v1</x:v>
      </x:c>
      <x:c r="S175" s="18" t="str">
        <x:v>Экспертная классификация проекта</x:v>
      </x:c>
    </x:row>
    <x:row r="176">
      <x:c r="A176" s="18" t="str">
        <x:v>Молукки и Папуа</x:v>
      </x:c>
      <x:c r="B176" s="18" t="str">
        <x:v>Индонезия</x:v>
      </x:c>
      <x:c r="C176" s="18" t="str">
        <x:v>Азия</x:v>
      </x:c>
      <x:c r="D176" s="18" t="str">
        <x:v>P5</x:v>
      </x:c>
      <x:c r="E176" s="22" t="n">
        <x:v>7000</x:v>
      </x:c>
      <x:c r="F176" s="22" t="n">
        <x:v>1</x:v>
      </x:c>
      <x:c r="G176" s="22" t="n">
        <x:v>12</x:v>
      </x:c>
      <x:c r="H176" s="22" t="n">
        <x:v>0.45</x:v>
      </x:c>
      <x:c r="I176" s="22" t="n">
        <x:v>1.4</x:v>
      </x:c>
      <x:c r="J176" s="22" t="n">
        <x:f>E176*1.5</x:f>
        <x:v>10500</x:v>
      </x:c>
      <x:c r="K176" s="22" t="n">
        <x:f>E176*2.5</x:f>
        <x:v>17500</x:v>
      </x:c>
      <x:c r="L176" s="22" t="n">
        <x:f>E176*3.5</x:f>
        <x:v>24500</x:v>
      </x:c>
      <x:c r="M176" s="22" t="n">
        <x:f>E176*4.5</x:f>
        <x:v>31500</x:v>
      </x:c>
      <x:c r="N176" s="22" t="n">
        <x:f>E176*5.5</x:f>
        <x:v>38500</x:v>
      </x:c>
      <x:c r="O176" s="22" t="n">
        <x:f>E176*7.5</x:f>
        <x:v>52500</x:v>
      </x:c>
      <x:c r="P176" s="22" t="n">
        <x:f>E176*9.5</x:f>
        <x:v>66500</x:v>
      </x:c>
      <x:c r="Q176" s="18" t="str">
        <x:v>Архипелаги, горы и редкое население</x:v>
      </x:c>
      <x:c r="R176" s="18" t="str">
        <x:v>Проектный профиль v1</x:v>
      </x:c>
      <x:c r="S176" s="18" t="str">
        <x:v>Экспертная классификация проекта</x:v>
      </x:c>
    </x:row>
    <x:row r="177">
      <x:c r="A177" s="18" t="str">
        <x:v>Дельта Нила</x:v>
      </x:c>
      <x:c r="B177" s="18" t="str">
        <x:v>Северная Африка</x:v>
      </x:c>
      <x:c r="C177" s="18" t="str">
        <x:v>Африка</x:v>
      </x:c>
      <x:c r="D177" s="18" t="str">
        <x:v>P1</x:v>
      </x:c>
      <x:c r="E177" s="22" t="n">
        <x:v>850</x:v>
      </x:c>
      <x:c r="F177" s="22" t="n">
        <x:v>1</x:v>
      </x:c>
      <x:c r="G177" s="22" t="n">
        <x:v>12</x:v>
      </x:c>
      <x:c r="H177" s="22" t="n">
        <x:v>2</x:v>
      </x:c>
      <x:c r="I177" s="22" t="n">
        <x:v>1.1</x:v>
      </x:c>
      <x:c r="J177" s="22" t="n">
        <x:f>E177*1.5</x:f>
        <x:v>1275</x:v>
      </x:c>
      <x:c r="K177" s="22" t="n">
        <x:f>E177*2.5</x:f>
        <x:v>2125</x:v>
      </x:c>
      <x:c r="L177" s="22" t="n">
        <x:f>E177*3.5</x:f>
        <x:v>2975</x:v>
      </x:c>
      <x:c r="M177" s="22" t="n">
        <x:f>E177*4.5</x:f>
        <x:v>3825</x:v>
      </x:c>
      <x:c r="N177" s="22" t="n">
        <x:f>E177*5.5</x:f>
        <x:v>4675</x:v>
      </x:c>
      <x:c r="O177" s="22" t="n">
        <x:f>E177*7.5</x:f>
        <x:v>6375</x:v>
      </x:c>
      <x:c r="P177" s="22" t="n">
        <x:f>E177*9.5</x:f>
        <x:v>8075</x:v>
      </x:c>
      <x:c r="Q177" s="18" t="str">
        <x:v>Сверхплотная речная дельта</x:v>
      </x:c>
      <x:c r="R177" s="18" t="str">
        <x:v>Проектный профиль v1</x:v>
      </x:c>
      <x:c r="S177" s="18" t="str">
        <x:v>Экспертная классификация проекта</x:v>
      </x:c>
    </x:row>
    <x:row r="178">
      <x:c r="A178" s="18" t="str">
        <x:v>Долина Нила</x:v>
      </x:c>
      <x:c r="B178" s="18" t="str">
        <x:v>Северная Африка</x:v>
      </x:c>
      <x:c r="C178" s="18" t="str">
        <x:v>Африка</x:v>
      </x:c>
      <x:c r="D178" s="18" t="str">
        <x:v>P2</x:v>
      </x:c>
      <x:c r="E178" s="22" t="n">
        <x:v>1300</x:v>
      </x:c>
      <x:c r="F178" s="22" t="n">
        <x:v>1</x:v>
      </x:c>
      <x:c r="G178" s="22" t="n">
        <x:v>14</x:v>
      </x:c>
      <x:c r="H178" s="22" t="n">
        <x:v>1.75</x:v>
      </x:c>
      <x:c r="I178" s="22" t="n">
        <x:v>1.05</x:v>
      </x:c>
      <x:c r="J178" s="22" t="n">
        <x:f>E178*1.5</x:f>
        <x:v>1950</x:v>
      </x:c>
      <x:c r="K178" s="22" t="n">
        <x:f>E178*2.5</x:f>
        <x:v>3250</x:v>
      </x:c>
      <x:c r="L178" s="22" t="n">
        <x:f>E178*3.5</x:f>
        <x:v>4550</x:v>
      </x:c>
      <x:c r="M178" s="22" t="n">
        <x:f>E178*4.5</x:f>
        <x:v>5850</x:v>
      </x:c>
      <x:c r="N178" s="22" t="n">
        <x:f>E178*5.5</x:f>
        <x:v>7150</x:v>
      </x:c>
      <x:c r="O178" s="22" t="n">
        <x:f>E178*7.5</x:f>
        <x:v>9750</x:v>
      </x:c>
      <x:c r="P178" s="22" t="n">
        <x:f>E178*9.5</x:f>
        <x:v>12350</x:v>
      </x:c>
      <x:c r="Q178" s="18" t="str">
        <x:v>Узкая населённая полоса среди пустыни</x:v>
      </x:c>
      <x:c r="R178" s="18" t="str">
        <x:v>Проектный профиль v1</x:v>
      </x:c>
      <x:c r="S178" s="18" t="str">
        <x:v>Экспертная классификация проекта</x:v>
      </x:c>
    </x:row>
    <x:row r="179">
      <x:c r="A179" s="18" t="str">
        <x:v>Киренаика</x:v>
      </x:c>
      <x:c r="B179" s="18" t="str">
        <x:v>Северная Африка</x:v>
      </x:c>
      <x:c r="C179" s="18" t="str">
        <x:v>Африка</x:v>
      </x:c>
      <x:c r="D179" s="18" t="str">
        <x:v>P6</x:v>
      </x:c>
      <x:c r="E179" s="22" t="n">
        <x:v>14000</x:v>
      </x:c>
      <x:c r="F179" s="22" t="n">
        <x:v>1</x:v>
      </x:c>
      <x:c r="G179" s="22" t="n">
        <x:v>12</x:v>
      </x:c>
      <x:c r="H179" s="22" t="n">
        <x:v>0.35</x:v>
      </x:c>
      <x:c r="I179" s="22" t="n">
        <x:v>1.1</x:v>
      </x:c>
      <x:c r="J179" s="22" t="n">
        <x:f>E179*1.5</x:f>
        <x:v>21000</x:v>
      </x:c>
      <x:c r="K179" s="22" t="n">
        <x:f>E179*2.5</x:f>
        <x:v>35000</x:v>
      </x:c>
      <x:c r="L179" s="22" t="n">
        <x:f>E179*3.5</x:f>
        <x:v>49000</x:v>
      </x:c>
      <x:c r="M179" s="22" t="n">
        <x:f>E179*4.5</x:f>
        <x:v>63000</x:v>
      </x:c>
      <x:c r="N179" s="22" t="n">
        <x:f>E179*5.5</x:f>
        <x:v>77000</x:v>
      </x:c>
      <x:c r="O179" s="22" t="n">
        <x:f>E179*7.5</x:f>
        <x:v>105000</x:v>
      </x:c>
      <x:c r="P179" s="22" t="n">
        <x:f>E179*9.5</x:f>
        <x:v>133000</x:v>
      </x:c>
      <x:c r="Q179" s="18" t="str">
        <x:v>Редкое побережье и пустынная глубинка</x:v>
      </x:c>
      <x:c r="R179" s="18" t="str">
        <x:v>Проектный профиль v1</x:v>
      </x:c>
      <x:c r="S179" s="18" t="str">
        <x:v>Экспертная классификация проекта</x:v>
      </x:c>
    </x:row>
    <x:row r="180">
      <x:c r="A180" s="18" t="str">
        <x:v>Ифрикия</x:v>
      </x:c>
      <x:c r="B180" s="18" t="str">
        <x:v>Северная Африка</x:v>
      </x:c>
      <x:c r="C180" s="18" t="str">
        <x:v>Африка</x:v>
      </x:c>
      <x:c r="D180" s="18" t="str">
        <x:v>P4</x:v>
      </x:c>
      <x:c r="E180" s="22" t="n">
        <x:v>3500</x:v>
      </x:c>
      <x:c r="F180" s="22" t="n">
        <x:v>1</x:v>
      </x:c>
      <x:c r="G180" s="22" t="n">
        <x:v>14</x:v>
      </x:c>
      <x:c r="H180" s="22" t="n">
        <x:v>1</x:v>
      </x:c>
      <x:c r="I180" s="22" t="n">
        <x:v>1.15</x:v>
      </x:c>
      <x:c r="J180" s="22" t="n">
        <x:f>E180*1.5</x:f>
        <x:v>5250</x:v>
      </x:c>
      <x:c r="K180" s="22" t="n">
        <x:f>E180*2.5</x:f>
        <x:v>8750</x:v>
      </x:c>
      <x:c r="L180" s="22" t="n">
        <x:f>E180*3.5</x:f>
        <x:v>12250</x:v>
      </x:c>
      <x:c r="M180" s="22" t="n">
        <x:f>E180*4.5</x:f>
        <x:v>15750</x:v>
      </x:c>
      <x:c r="N180" s="22" t="n">
        <x:f>E180*5.5</x:f>
        <x:v>19250</x:v>
      </x:c>
      <x:c r="O180" s="22" t="n">
        <x:f>E180*7.5</x:f>
        <x:v>26250</x:v>
      </x:c>
      <x:c r="P180" s="22" t="n">
        <x:f>E180*9.5</x:f>
        <x:v>33250</x:v>
      </x:c>
      <x:c r="Q180" s="18" t="str">
        <x:v>Побережье, города и аграрные долины</x:v>
      </x:c>
      <x:c r="R180" s="18" t="str">
        <x:v>Проектный профиль v1</x:v>
      </x:c>
      <x:c r="S180" s="18" t="str">
        <x:v>Экспертная классификация проекта</x:v>
      </x:c>
    </x:row>
    <x:row r="181">
      <x:c r="A181" s="18" t="str">
        <x:v>Алжирское побережье</x:v>
      </x:c>
      <x:c r="B181" s="18" t="str">
        <x:v>Северная Африка</x:v>
      </x:c>
      <x:c r="C181" s="18" t="str">
        <x:v>Африка</x:v>
      </x:c>
      <x:c r="D181" s="18" t="str">
        <x:v>P4</x:v>
      </x:c>
      <x:c r="E181" s="22" t="n">
        <x:v>4000</x:v>
      </x:c>
      <x:c r="F181" s="22" t="n">
        <x:v>1</x:v>
      </x:c>
      <x:c r="G181" s="22" t="n">
        <x:v>14</x:v>
      </x:c>
      <x:c r="H181" s="22" t="n">
        <x:v>0.95</x:v>
      </x:c>
      <x:c r="I181" s="22" t="n">
        <x:v>1.2</x:v>
      </x:c>
      <x:c r="J181" s="22" t="n">
        <x:f>E181*1.5</x:f>
        <x:v>6000</x:v>
      </x:c>
      <x:c r="K181" s="22" t="n">
        <x:f>E181*2.5</x:f>
        <x:v>10000</x:v>
      </x:c>
      <x:c r="L181" s="22" t="n">
        <x:f>E181*3.5</x:f>
        <x:v>14000</x:v>
      </x:c>
      <x:c r="M181" s="22" t="n">
        <x:f>E181*4.5</x:f>
        <x:v>18000</x:v>
      </x:c>
      <x:c r="N181" s="22" t="n">
        <x:f>E181*5.5</x:f>
        <x:v>22000</x:v>
      </x:c>
      <x:c r="O181" s="22" t="n">
        <x:f>E181*7.5</x:f>
        <x:v>30000</x:v>
      </x:c>
      <x:c r="P181" s="22" t="n">
        <x:f>E181*9.5</x:f>
        <x:v>38000</x:v>
      </x:c>
      <x:c r="Q181" s="18" t="str">
        <x:v>Узкая населённая полоса и Атлас</x:v>
      </x:c>
      <x:c r="R181" s="18" t="str">
        <x:v>Проектный профиль v1</x:v>
      </x:c>
      <x:c r="S181" s="18" t="str">
        <x:v>Экспертная классификация проекта</x:v>
      </x:c>
    </x:row>
    <x:row r="182">
      <x:c r="A182" s="18" t="str">
        <x:v>Марокканское побережье</x:v>
      </x:c>
      <x:c r="B182" s="18" t="str">
        <x:v>Северная Африка</x:v>
      </x:c>
      <x:c r="C182" s="18" t="str">
        <x:v>Африка</x:v>
      </x:c>
      <x:c r="D182" s="18" t="str">
        <x:v>P4</x:v>
      </x:c>
      <x:c r="E182" s="22" t="n">
        <x:v>3500</x:v>
      </x:c>
      <x:c r="F182" s="22" t="n">
        <x:v>1</x:v>
      </x:c>
      <x:c r="G182" s="22" t="n">
        <x:v>14</x:v>
      </x:c>
      <x:c r="H182" s="22" t="n">
        <x:v>1</x:v>
      </x:c>
      <x:c r="I182" s="22" t="n">
        <x:v>1.15</x:v>
      </x:c>
      <x:c r="J182" s="22" t="n">
        <x:f>E182*1.5</x:f>
        <x:v>5250</x:v>
      </x:c>
      <x:c r="K182" s="22" t="n">
        <x:f>E182*2.5</x:f>
        <x:v>8750</x:v>
      </x:c>
      <x:c r="L182" s="22" t="n">
        <x:f>E182*3.5</x:f>
        <x:v>12250</x:v>
      </x:c>
      <x:c r="M182" s="22" t="n">
        <x:f>E182*4.5</x:f>
        <x:v>15750</x:v>
      </x:c>
      <x:c r="N182" s="22" t="n">
        <x:f>E182*5.5</x:f>
        <x:v>19250</x:v>
      </x:c>
      <x:c r="O182" s="22" t="n">
        <x:f>E182*7.5</x:f>
        <x:v>26250</x:v>
      </x:c>
      <x:c r="P182" s="22" t="n">
        <x:f>E182*9.5</x:f>
        <x:v>33250</x:v>
      </x:c>
      <x:c r="Q182" s="18" t="str">
        <x:v>Города, побережье и аграрные долины</x:v>
      </x:c>
      <x:c r="R182" s="18" t="str">
        <x:v>Проектный профиль v1</x:v>
      </x:c>
      <x:c r="S182" s="18" t="str">
        <x:v>Экспертная классификация проекта</x:v>
      </x:c>
    </x:row>
    <x:row r="183">
      <x:c r="A183" s="18" t="str">
        <x:v>Атлас</x:v>
      </x:c>
      <x:c r="B183" s="18" t="str">
        <x:v>Северная Африка</x:v>
      </x:c>
      <x:c r="C183" s="18" t="str">
        <x:v>Африка</x:v>
      </x:c>
      <x:c r="D183" s="18" t="str">
        <x:v>P5</x:v>
      </x:c>
      <x:c r="E183" s="22" t="n">
        <x:v>6000</x:v>
      </x:c>
      <x:c r="F183" s="22" t="n">
        <x:v>1</x:v>
      </x:c>
      <x:c r="G183" s="22" t="n">
        <x:v>12</x:v>
      </x:c>
      <x:c r="H183" s="22" t="n">
        <x:v>0.6</x:v>
      </x:c>
      <x:c r="I183" s="22" t="n">
        <x:v>1.3</x:v>
      </x:c>
      <x:c r="J183" s="22" t="n">
        <x:f>E183*1.5</x:f>
        <x:v>9000</x:v>
      </x:c>
      <x:c r="K183" s="22" t="n">
        <x:f>E183*2.5</x:f>
        <x:v>15000</x:v>
      </x:c>
      <x:c r="L183" s="22" t="n">
        <x:f>E183*3.5</x:f>
        <x:v>21000</x:v>
      </x:c>
      <x:c r="M183" s="22" t="n">
        <x:f>E183*4.5</x:f>
        <x:v>27000</x:v>
      </x:c>
      <x:c r="N183" s="22" t="n">
        <x:f>E183*5.5</x:f>
        <x:v>33000</x:v>
      </x:c>
      <x:c r="O183" s="22" t="n">
        <x:f>E183*7.5</x:f>
        <x:v>45000</x:v>
      </x:c>
      <x:c r="P183" s="22" t="n">
        <x:f>E183*9.5</x:f>
        <x:v>57000</x:v>
      </x:c>
      <x:c r="Q183" s="18" t="str">
        <x:v>Горы и долины</x:v>
      </x:c>
      <x:c r="R183" s="18" t="str">
        <x:v>Проектный профиль v1</x:v>
      </x:c>
      <x:c r="S183" s="18" t="str">
        <x:v>Экспертная классификация проекта</x:v>
      </x:c>
    </x:row>
    <x:row r="184">
      <x:c r="A184" s="18" t="str">
        <x:v>Сахара</x:v>
      </x:c>
      <x:c r="B184" s="18" t="str">
        <x:v>Северная Африка</x:v>
      </x:c>
      <x:c r="C184" s="18" t="str">
        <x:v>Африка</x:v>
      </x:c>
      <x:c r="D184" s="18" t="str">
        <x:v>P8</x:v>
      </x:c>
      <x:c r="E184" s="22" t="n">
        <x:v>120000</x:v>
      </x:c>
      <x:c r="F184" s="22" t="n">
        <x:v>1</x:v>
      </x:c>
      <x:c r="G184" s="22" t="n">
        <x:v>10</x:v>
      </x:c>
      <x:c r="H184" s="22" t="n">
        <x:v>0.04</x:v>
      </x:c>
      <x:c r="I184" s="22" t="n">
        <x:v>1</x:v>
      </x:c>
      <x:c r="J184" s="22" t="n">
        <x:f>E184*1.5</x:f>
        <x:v>180000</x:v>
      </x:c>
      <x:c r="K184" s="22" t="n">
        <x:f>E184*2.5</x:f>
        <x:v>300000</x:v>
      </x:c>
      <x:c r="L184" s="22" t="n">
        <x:f>E184*3.5</x:f>
        <x:v>420000</x:v>
      </x:c>
      <x:c r="M184" s="22" t="n">
        <x:f>E184*4.5</x:f>
        <x:v>540000</x:v>
      </x:c>
      <x:c r="N184" s="22" t="n">
        <x:f>E184*5.5</x:f>
        <x:v>660000</x:v>
      </x:c>
      <x:c r="O184" s="22" t="n">
        <x:f>E184*7.5</x:f>
        <x:v>900000</x:v>
      </x:c>
      <x:c r="P184" s="22" t="n">
        <x:f>E184*9.5</x:f>
        <x:v>1140000</x:v>
      </x:c>
      <x:c r="Q184" s="18" t="str">
        <x:v>Крайне редкие оазисы и маршруты</x:v>
      </x:c>
      <x:c r="R184" s="18" t="str">
        <x:v>Проектный профиль v1</x:v>
      </x:c>
      <x:c r="S184" s="18" t="str">
        <x:v>Экспертная классификация проекта</x:v>
      </x:c>
    </x:row>
    <x:row r="185">
      <x:c r="A185" s="18" t="str">
        <x:v>Западный Сахель</x:v>
      </x:c>
      <x:c r="B185" s="18" t="str">
        <x:v>Западная Африка</x:v>
      </x:c>
      <x:c r="C185" s="18" t="str">
        <x:v>Африка</x:v>
      </x:c>
      <x:c r="D185" s="18" t="str">
        <x:v>P6</x:v>
      </x:c>
      <x:c r="E185" s="22" t="n">
        <x:v>18000</x:v>
      </x:c>
      <x:c r="F185" s="22" t="n">
        <x:v>1</x:v>
      </x:c>
      <x:c r="G185" s="22" t="n">
        <x:v>14</x:v>
      </x:c>
      <x:c r="H185" s="22" t="n">
        <x:v>0.35</x:v>
      </x:c>
      <x:c r="I185" s="22" t="n">
        <x:v>1</x:v>
      </x:c>
      <x:c r="J185" s="22" t="n">
        <x:f>E185*1.5</x:f>
        <x:v>27000</x:v>
      </x:c>
      <x:c r="K185" s="22" t="n">
        <x:f>E185*2.5</x:f>
        <x:v>45000</x:v>
      </x:c>
      <x:c r="L185" s="22" t="n">
        <x:f>E185*3.5</x:f>
        <x:v>63000</x:v>
      </x:c>
      <x:c r="M185" s="22" t="n">
        <x:f>E185*4.5</x:f>
        <x:v>81000</x:v>
      </x:c>
      <x:c r="N185" s="22" t="n">
        <x:f>E185*5.5</x:f>
        <x:v>99000</x:v>
      </x:c>
      <x:c r="O185" s="22" t="n">
        <x:f>E185*7.5</x:f>
        <x:v>135000</x:v>
      </x:c>
      <x:c r="P185" s="22" t="n">
        <x:f>E185*9.5</x:f>
        <x:v>171000</x:v>
      </x:c>
      <x:c r="Q185" s="18" t="str">
        <x:v>Редкие поселения и сезонные маршруты</x:v>
      </x:c>
      <x:c r="R185" s="18" t="str">
        <x:v>Проектный профиль v1</x:v>
      </x:c>
      <x:c r="S185" s="18" t="str">
        <x:v>Экспертная классификация проекта</x:v>
      </x:c>
    </x:row>
    <x:row r="186">
      <x:c r="A186" s="18" t="str">
        <x:v>Средний Нигер</x:v>
      </x:c>
      <x:c r="B186" s="18" t="str">
        <x:v>Западная Африка</x:v>
      </x:c>
      <x:c r="C186" s="18" t="str">
        <x:v>Африка</x:v>
      </x:c>
      <x:c r="D186" s="18" t="str">
        <x:v>P5</x:v>
      </x:c>
      <x:c r="E186" s="22" t="n">
        <x:v>8000</x:v>
      </x:c>
      <x:c r="F186" s="22" t="n">
        <x:v>1</x:v>
      </x:c>
      <x:c r="G186" s="22" t="n">
        <x:v>16</x:v>
      </x:c>
      <x:c r="H186" s="22" t="n">
        <x:v>0.7</x:v>
      </x:c>
      <x:c r="I186" s="22" t="n">
        <x:v>1.05</x:v>
      </x:c>
      <x:c r="J186" s="22" t="n">
        <x:f>E186*1.5</x:f>
        <x:v>12000</x:v>
      </x:c>
      <x:c r="K186" s="22" t="n">
        <x:f>E186*2.5</x:f>
        <x:v>20000</x:v>
      </x:c>
      <x:c r="L186" s="22" t="n">
        <x:f>E186*3.5</x:f>
        <x:v>28000</x:v>
      </x:c>
      <x:c r="M186" s="22" t="n">
        <x:f>E186*4.5</x:f>
        <x:v>36000</x:v>
      </x:c>
      <x:c r="N186" s="22" t="n">
        <x:f>E186*5.5</x:f>
        <x:v>44000</x:v>
      </x:c>
      <x:c r="O186" s="22" t="n">
        <x:f>E186*7.5</x:f>
        <x:v>60000</x:v>
      </x:c>
      <x:c r="P186" s="22" t="n">
        <x:f>E186*9.5</x:f>
        <x:v>76000</x:v>
      </x:c>
      <x:c r="Q186" s="18" t="str">
        <x:v>Речная сеть и исторические города</x:v>
      </x:c>
      <x:c r="R186" s="18" t="str">
        <x:v>Проектный профиль v1</x:v>
      </x:c>
      <x:c r="S186" s="18" t="str">
        <x:v>Экспертная классификация проекта</x:v>
      </x:c>
    </x:row>
    <x:row r="187">
      <x:c r="A187" s="18" t="str">
        <x:v>Сенегамбия</x:v>
      </x:c>
      <x:c r="B187" s="18" t="str">
        <x:v>Западная Африка</x:v>
      </x:c>
      <x:c r="C187" s="18" t="str">
        <x:v>Африка</x:v>
      </x:c>
      <x:c r="D187" s="18" t="str">
        <x:v>P4</x:v>
      </x:c>
      <x:c r="E187" s="22" t="n">
        <x:v>5000</x:v>
      </x:c>
      <x:c r="F187" s="22" t="n">
        <x:v>1</x:v>
      </x:c>
      <x:c r="G187" s="22" t="n">
        <x:v>14</x:v>
      </x:c>
      <x:c r="H187" s="22" t="n">
        <x:v>0.95</x:v>
      </x:c>
      <x:c r="I187" s="22" t="n">
        <x:v>1.1</x:v>
      </x:c>
      <x:c r="J187" s="22" t="n">
        <x:f>E187*1.5</x:f>
        <x:v>7500</x:v>
      </x:c>
      <x:c r="K187" s="22" t="n">
        <x:f>E187*2.5</x:f>
        <x:v>12500</x:v>
      </x:c>
      <x:c r="L187" s="22" t="n">
        <x:f>E187*3.5</x:f>
        <x:v>17500</x:v>
      </x:c>
      <x:c r="M187" s="22" t="n">
        <x:f>E187*4.5</x:f>
        <x:v>22500</x:v>
      </x:c>
      <x:c r="N187" s="22" t="n">
        <x:f>E187*5.5</x:f>
        <x:v>27500</x:v>
      </x:c>
      <x:c r="O187" s="22" t="n">
        <x:f>E187*7.5</x:f>
        <x:v>37500</x:v>
      </x:c>
      <x:c r="P187" s="22" t="n">
        <x:f>E187*9.5</x:f>
        <x:v>47500</x:v>
      </x:c>
      <x:c r="Q187" s="18" t="str">
        <x:v>Реки, побережье и плотные сельские зоны</x:v>
      </x:c>
      <x:c r="R187" s="18" t="str">
        <x:v>Проектный профиль v1</x:v>
      </x:c>
      <x:c r="S187" s="18" t="str">
        <x:v>Экспертная классификация проекта</x:v>
      </x:c>
    </x:row>
    <x:row r="188">
      <x:c r="A188" s="18" t="str">
        <x:v>Верхняя Гвинея</x:v>
      </x:c>
      <x:c r="B188" s="18" t="str">
        <x:v>Западная Африка</x:v>
      </x:c>
      <x:c r="C188" s="18" t="str">
        <x:v>Африка</x:v>
      </x:c>
      <x:c r="D188" s="18" t="str">
        <x:v>P5</x:v>
      </x:c>
      <x:c r="E188" s="22" t="n">
        <x:v>7000</x:v>
      </x:c>
      <x:c r="F188" s="22" t="n">
        <x:v>1</x:v>
      </x:c>
      <x:c r="G188" s="22" t="n">
        <x:v>14</x:v>
      </x:c>
      <x:c r="H188" s="22" t="n">
        <x:v>0.75</x:v>
      </x:c>
      <x:c r="I188" s="22" t="n">
        <x:v>1.2</x:v>
      </x:c>
      <x:c r="J188" s="22" t="n">
        <x:f>E188*1.5</x:f>
        <x:v>10500</x:v>
      </x:c>
      <x:c r="K188" s="22" t="n">
        <x:f>E188*2.5</x:f>
        <x:v>17500</x:v>
      </x:c>
      <x:c r="L188" s="22" t="n">
        <x:f>E188*3.5</x:f>
        <x:v>24500</x:v>
      </x:c>
      <x:c r="M188" s="22" t="n">
        <x:f>E188*4.5</x:f>
        <x:v>31500</x:v>
      </x:c>
      <x:c r="N188" s="22" t="n">
        <x:f>E188*5.5</x:f>
        <x:v>38500</x:v>
      </x:c>
      <x:c r="O188" s="22" t="n">
        <x:f>E188*7.5</x:f>
        <x:v>52500</x:v>
      </x:c>
      <x:c r="P188" s="22" t="n">
        <x:f>E188*9.5</x:f>
        <x:v>66500</x:v>
      </x:c>
      <x:c r="Q188" s="18" t="str">
        <x:v>Нагорья и побережье</x:v>
      </x:c>
      <x:c r="R188" s="18" t="str">
        <x:v>Проектный профиль v1</x:v>
      </x:c>
      <x:c r="S188" s="18" t="str">
        <x:v>Экспертная классификация проекта</x:v>
      </x:c>
    </x:row>
    <x:row r="189">
      <x:c r="A189" s="18" t="str">
        <x:v>Золотой Берег</x:v>
      </x:c>
      <x:c r="B189" s="18" t="str">
        <x:v>Западная Африка</x:v>
      </x:c>
      <x:c r="C189" s="18" t="str">
        <x:v>Африка</x:v>
      </x:c>
      <x:c r="D189" s="18" t="str">
        <x:v>P4</x:v>
      </x:c>
      <x:c r="E189" s="22" t="n">
        <x:v>4500</x:v>
      </x:c>
      <x:c r="F189" s="22" t="n">
        <x:v>1</x:v>
      </x:c>
      <x:c r="G189" s="22" t="n">
        <x:v>14</x:v>
      </x:c>
      <x:c r="H189" s="22" t="n">
        <x:v>1.05</x:v>
      </x:c>
      <x:c r="I189" s="22" t="n">
        <x:v>1.15</x:v>
      </x:c>
      <x:c r="J189" s="22" t="n">
        <x:f>E189*1.5</x:f>
        <x:v>6750</x:v>
      </x:c>
      <x:c r="K189" s="22" t="n">
        <x:f>E189*2.5</x:f>
        <x:v>11250</x:v>
      </x:c>
      <x:c r="L189" s="22" t="n">
        <x:f>E189*3.5</x:f>
        <x:v>15750</x:v>
      </x:c>
      <x:c r="M189" s="22" t="n">
        <x:f>E189*4.5</x:f>
        <x:v>20250</x:v>
      </x:c>
      <x:c r="N189" s="22" t="n">
        <x:f>E189*5.5</x:f>
        <x:v>24750</x:v>
      </x:c>
      <x:c r="O189" s="22" t="n">
        <x:f>E189*7.5</x:f>
        <x:v>33750</x:v>
      </x:c>
      <x:c r="P189" s="22" t="n">
        <x:f>E189*9.5</x:f>
        <x:v>42750</x:v>
      </x:c>
      <x:c r="Q189" s="18" t="str">
        <x:v>Плотное побережье и лесные районы</x:v>
      </x:c>
      <x:c r="R189" s="18" t="str">
        <x:v>Проектный профиль v1</x:v>
      </x:c>
      <x:c r="S189" s="18" t="str">
        <x:v>Экспертная классификация проекта</x:v>
      </x:c>
    </x:row>
    <x:row r="190">
      <x:c r="A190" s="18" t="str">
        <x:v>Бенинский залив</x:v>
      </x:c>
      <x:c r="B190" s="18" t="str">
        <x:v>Западная Африка</x:v>
      </x:c>
      <x:c r="C190" s="18" t="str">
        <x:v>Африка</x:v>
      </x:c>
      <x:c r="D190" s="18" t="str">
        <x:v>P4</x:v>
      </x:c>
      <x:c r="E190" s="22" t="n">
        <x:v>4000</x:v>
      </x:c>
      <x:c r="F190" s="22" t="n">
        <x:v>1</x:v>
      </x:c>
      <x:c r="G190" s="22" t="n">
        <x:v>16</x:v>
      </x:c>
      <x:c r="H190" s="22" t="n">
        <x:v>1.15</x:v>
      </x:c>
      <x:c r="I190" s="22" t="n">
        <x:v>1.1</x:v>
      </x:c>
      <x:c r="J190" s="22" t="n">
        <x:f>E190*1.5</x:f>
        <x:v>6000</x:v>
      </x:c>
      <x:c r="K190" s="22" t="n">
        <x:f>E190*2.5</x:f>
        <x:v>10000</x:v>
      </x:c>
      <x:c r="L190" s="22" t="n">
        <x:f>E190*3.5</x:f>
        <x:v>14000</x:v>
      </x:c>
      <x:c r="M190" s="22" t="n">
        <x:f>E190*4.5</x:f>
        <x:v>18000</x:v>
      </x:c>
      <x:c r="N190" s="22" t="n">
        <x:f>E190*5.5</x:f>
        <x:v>22000</x:v>
      </x:c>
      <x:c r="O190" s="22" t="n">
        <x:f>E190*7.5</x:f>
        <x:v>30000</x:v>
      </x:c>
      <x:c r="P190" s="22" t="n">
        <x:f>E190*9.5</x:f>
        <x:v>38000</x:v>
      </x:c>
      <x:c r="Q190" s="18" t="str">
        <x:v>Плотная историческая зона</x:v>
      </x:c>
      <x:c r="R190" s="18" t="str">
        <x:v>Проектный профиль v1</x:v>
      </x:c>
      <x:c r="S190" s="18" t="str">
        <x:v>Экспертная классификация проекта</x:v>
      </x:c>
    </x:row>
    <x:row r="191">
      <x:c r="A191" s="18" t="str">
        <x:v>Хаусаленд</x:v>
      </x:c>
      <x:c r="B191" s="18" t="str">
        <x:v>Западная Африка</x:v>
      </x:c>
      <x:c r="C191" s="18" t="str">
        <x:v>Африка</x:v>
      </x:c>
      <x:c r="D191" s="18" t="str">
        <x:v>P4</x:v>
      </x:c>
      <x:c r="E191" s="22" t="n">
        <x:v>5500</x:v>
      </x:c>
      <x:c r="F191" s="22" t="n">
        <x:v>1</x:v>
      </x:c>
      <x:c r="G191" s="22" t="n">
        <x:v>16</x:v>
      </x:c>
      <x:c r="H191" s="22" t="n">
        <x:v>1.05</x:v>
      </x:c>
      <x:c r="I191" s="22" t="n">
        <x:v>1</x:v>
      </x:c>
      <x:c r="J191" s="22" t="n">
        <x:f>E191*1.5</x:f>
        <x:v>8250</x:v>
      </x:c>
      <x:c r="K191" s="22" t="n">
        <x:f>E191*2.5</x:f>
        <x:v>13750</x:v>
      </x:c>
      <x:c r="L191" s="22" t="n">
        <x:f>E191*3.5</x:f>
        <x:v>19250</x:v>
      </x:c>
      <x:c r="M191" s="22" t="n">
        <x:f>E191*4.5</x:f>
        <x:v>24750</x:v>
      </x:c>
      <x:c r="N191" s="22" t="n">
        <x:f>E191*5.5</x:f>
        <x:v>30250</x:v>
      </x:c>
      <x:c r="O191" s="22" t="n">
        <x:f>E191*7.5</x:f>
        <x:v>41250</x:v>
      </x:c>
      <x:c r="P191" s="22" t="n">
        <x:f>E191*9.5</x:f>
        <x:v>52250</x:v>
      </x:c>
      <x:c r="Q191" s="18" t="str">
        <x:v>Города саванны и торговые пути</x:v>
      </x:c>
      <x:c r="R191" s="18" t="str">
        <x:v>Проектный профиль v1</x:v>
      </x:c>
      <x:c r="S191" s="18" t="str">
        <x:v>Экспертная классификация проекта</x:v>
      </x:c>
    </x:row>
    <x:row r="192">
      <x:c r="A192" s="18" t="str">
        <x:v>Озеро Чад</x:v>
      </x:c>
      <x:c r="B192" s="18" t="str">
        <x:v>Центральная Африка</x:v>
      </x:c>
      <x:c r="C192" s="18" t="str">
        <x:v>Африка</x:v>
      </x:c>
      <x:c r="D192" s="18" t="str">
        <x:v>P6</x:v>
      </x:c>
      <x:c r="E192" s="22" t="n">
        <x:v>16000</x:v>
      </x:c>
      <x:c r="F192" s="22" t="n">
        <x:v>1</x:v>
      </x:c>
      <x:c r="G192" s="22" t="n">
        <x:v>14</x:v>
      </x:c>
      <x:c r="H192" s="22" t="n">
        <x:v>0.45</x:v>
      </x:c>
      <x:c r="I192" s="22" t="n">
        <x:v>1.05</x:v>
      </x:c>
      <x:c r="J192" s="22" t="n">
        <x:f>E192*1.5</x:f>
        <x:v>24000</x:v>
      </x:c>
      <x:c r="K192" s="22" t="n">
        <x:f>E192*2.5</x:f>
        <x:v>40000</x:v>
      </x:c>
      <x:c r="L192" s="22" t="n">
        <x:f>E192*3.5</x:f>
        <x:v>56000</x:v>
      </x:c>
      <x:c r="M192" s="22" t="n">
        <x:f>E192*4.5</x:f>
        <x:v>72000</x:v>
      </x:c>
      <x:c r="N192" s="22" t="n">
        <x:f>E192*5.5</x:f>
        <x:v>88000</x:v>
      </x:c>
      <x:c r="O192" s="22" t="n">
        <x:f>E192*7.5</x:f>
        <x:v>120000</x:v>
      </x:c>
      <x:c r="P192" s="22" t="n">
        <x:f>E192*9.5</x:f>
        <x:v>152000</x:v>
      </x:c>
      <x:c r="Q192" s="18" t="str">
        <x:v>Редкие очаги вокруг воды</x:v>
      </x:c>
      <x:c r="R192" s="18" t="str">
        <x:v>Проектный профиль v1</x:v>
      </x:c>
      <x:c r="S192" s="18" t="str">
        <x:v>Экспертная классификация проекта</x:v>
      </x:c>
    </x:row>
    <x:row r="193">
      <x:c r="A193" s="18" t="str">
        <x:v>Камерунское нагорье</x:v>
      </x:c>
      <x:c r="B193" s="18" t="str">
        <x:v>Центральная Африка</x:v>
      </x:c>
      <x:c r="C193" s="18" t="str">
        <x:v>Африка</x:v>
      </x:c>
      <x:c r="D193" s="18" t="str">
        <x:v>P5</x:v>
      </x:c>
      <x:c r="E193" s="22" t="n">
        <x:v>6500</x:v>
      </x:c>
      <x:c r="F193" s="22" t="n">
        <x:v>1</x:v>
      </x:c>
      <x:c r="G193" s="22" t="n">
        <x:v>14</x:v>
      </x:c>
      <x:c r="H193" s="22" t="n">
        <x:v>0.85</x:v>
      </x:c>
      <x:c r="I193" s="22" t="n">
        <x:v>1.3</x:v>
      </x:c>
      <x:c r="J193" s="22" t="n">
        <x:f>E193*1.5</x:f>
        <x:v>9750</x:v>
      </x:c>
      <x:c r="K193" s="22" t="n">
        <x:f>E193*2.5</x:f>
        <x:v>16250</x:v>
      </x:c>
      <x:c r="L193" s="22" t="n">
        <x:f>E193*3.5</x:f>
        <x:v>22750</x:v>
      </x:c>
      <x:c r="M193" s="22" t="n">
        <x:f>E193*4.5</x:f>
        <x:v>29250</x:v>
      </x:c>
      <x:c r="N193" s="22" t="n">
        <x:f>E193*5.5</x:f>
        <x:v>35750</x:v>
      </x:c>
      <x:c r="O193" s="22" t="n">
        <x:f>E193*7.5</x:f>
        <x:v>48750</x:v>
      </x:c>
      <x:c r="P193" s="22" t="n">
        <x:f>E193*9.5</x:f>
        <x:v>61750</x:v>
      </x:c>
      <x:c r="Q193" s="18" t="str">
        <x:v>Горы, леса и плотные локальные зоны</x:v>
      </x:c>
      <x:c r="R193" s="18" t="str">
        <x:v>Проектный профиль v1</x:v>
      </x:c>
      <x:c r="S193" s="18" t="str">
        <x:v>Экспертная классификация проекта</x:v>
      </x:c>
    </x:row>
    <x:row r="194">
      <x:c r="A194" s="18" t="str">
        <x:v>Бассейн Конго</x:v>
      </x:c>
      <x:c r="B194" s="18" t="str">
        <x:v>Центральная Африка</x:v>
      </x:c>
      <x:c r="C194" s="18" t="str">
        <x:v>Африка</x:v>
      </x:c>
      <x:c r="D194" s="18" t="str">
        <x:v>P7</x:v>
      </x:c>
      <x:c r="E194" s="22" t="n">
        <x:v>35000</x:v>
      </x:c>
      <x:c r="F194" s="22" t="n">
        <x:v>1</x:v>
      </x:c>
      <x:c r="G194" s="22" t="n">
        <x:v>14</x:v>
      </x:c>
      <x:c r="H194" s="22" t="n">
        <x:v>0.2</x:v>
      </x:c>
      <x:c r="I194" s="22" t="n">
        <x:v>1.1</x:v>
      </x:c>
      <x:c r="J194" s="22" t="n">
        <x:f>E194*1.5</x:f>
        <x:v>52500</x:v>
      </x:c>
      <x:c r="K194" s="22" t="n">
        <x:f>E194*2.5</x:f>
        <x:v>87500</x:v>
      </x:c>
      <x:c r="L194" s="22" t="n">
        <x:f>E194*3.5</x:f>
        <x:v>122500</x:v>
      </x:c>
      <x:c r="M194" s="22" t="n">
        <x:f>E194*4.5</x:f>
        <x:v>157500</x:v>
      </x:c>
      <x:c r="N194" s="22" t="n">
        <x:f>E194*5.5</x:f>
        <x:v>192500</x:v>
      </x:c>
      <x:c r="O194" s="22" t="n">
        <x:f>E194*7.5</x:f>
        <x:v>262500</x:v>
      </x:c>
      <x:c r="P194" s="22" t="n">
        <x:f>E194*9.5</x:f>
        <x:v>332500</x:v>
      </x:c>
      <x:c r="Q194" s="18" t="str">
        <x:v>Лес, реки и низкая связность</x:v>
      </x:c>
      <x:c r="R194" s="18" t="str">
        <x:v>Проектный профиль v1</x:v>
      </x:c>
      <x:c r="S194" s="18" t="str">
        <x:v>Экспертная классификация проекта</x:v>
      </x:c>
    </x:row>
    <x:row r="195">
      <x:c r="A195" s="18" t="str">
        <x:v>Нижнее Конго</x:v>
      </x:c>
      <x:c r="B195" s="18" t="str">
        <x:v>Центральная Африка</x:v>
      </x:c>
      <x:c r="C195" s="18" t="str">
        <x:v>Африка</x:v>
      </x:c>
      <x:c r="D195" s="18" t="str">
        <x:v>P5</x:v>
      </x:c>
      <x:c r="E195" s="22" t="n">
        <x:v>9000</x:v>
      </x:c>
      <x:c r="F195" s="22" t="n">
        <x:v>1</x:v>
      </x:c>
      <x:c r="G195" s="22" t="n">
        <x:v>14</x:v>
      </x:c>
      <x:c r="H195" s="22" t="n">
        <x:v>0.65</x:v>
      </x:c>
      <x:c r="I195" s="22" t="n">
        <x:v>1.15</x:v>
      </x:c>
      <x:c r="J195" s="22" t="n">
        <x:f>E195*1.5</x:f>
        <x:v>13500</x:v>
      </x:c>
      <x:c r="K195" s="22" t="n">
        <x:f>E195*2.5</x:f>
        <x:v>22500</x:v>
      </x:c>
      <x:c r="L195" s="22" t="n">
        <x:f>E195*3.5</x:f>
        <x:v>31500</x:v>
      </x:c>
      <x:c r="M195" s="22" t="n">
        <x:f>E195*4.5</x:f>
        <x:v>40500</x:v>
      </x:c>
      <x:c r="N195" s="22" t="n">
        <x:f>E195*5.5</x:f>
        <x:v>49500</x:v>
      </x:c>
      <x:c r="O195" s="22" t="n">
        <x:f>E195*7.5</x:f>
        <x:v>67500</x:v>
      </x:c>
      <x:c r="P195" s="22" t="n">
        <x:f>E195*9.5</x:f>
        <x:v>85500</x:v>
      </x:c>
      <x:c r="Q195" s="18" t="str">
        <x:v>Речная ось и побережье</x:v>
      </x:c>
      <x:c r="R195" s="18" t="str">
        <x:v>Проектный профиль v1</x:v>
      </x:c>
      <x:c r="S195" s="18" t="str">
        <x:v>Экспертная классификация проекта</x:v>
      </x:c>
    </x:row>
    <x:row r="196">
      <x:c r="A196" s="18" t="str">
        <x:v>Ангольское нагорье</x:v>
      </x:c>
      <x:c r="B196" s="18" t="str">
        <x:v>Центральная Африка</x:v>
      </x:c>
      <x:c r="C196" s="18" t="str">
        <x:v>Африка</x:v>
      </x:c>
      <x:c r="D196" s="18" t="str">
        <x:v>P6</x:v>
      </x:c>
      <x:c r="E196" s="22" t="n">
        <x:v>16000</x:v>
      </x:c>
      <x:c r="F196" s="22" t="n">
        <x:v>1</x:v>
      </x:c>
      <x:c r="G196" s="22" t="n">
        <x:v>14</x:v>
      </x:c>
      <x:c r="H196" s="22" t="n">
        <x:v>0.4</x:v>
      </x:c>
      <x:c r="I196" s="22" t="n">
        <x:v>1.2</x:v>
      </x:c>
      <x:c r="J196" s="22" t="n">
        <x:f>E196*1.5</x:f>
        <x:v>24000</x:v>
      </x:c>
      <x:c r="K196" s="22" t="n">
        <x:f>E196*2.5</x:f>
        <x:v>40000</x:v>
      </x:c>
      <x:c r="L196" s="22" t="n">
        <x:f>E196*3.5</x:f>
        <x:v>56000</x:v>
      </x:c>
      <x:c r="M196" s="22" t="n">
        <x:f>E196*4.5</x:f>
        <x:v>72000</x:v>
      </x:c>
      <x:c r="N196" s="22" t="n">
        <x:f>E196*5.5</x:f>
        <x:v>88000</x:v>
      </x:c>
      <x:c r="O196" s="22" t="n">
        <x:f>E196*7.5</x:f>
        <x:v>120000</x:v>
      </x:c>
      <x:c r="P196" s="22" t="n">
        <x:f>E196*9.5</x:f>
        <x:v>152000</x:v>
      </x:c>
      <x:c r="Q196" s="18" t="str">
        <x:v>Плато и редкая сеть</x:v>
      </x:c>
      <x:c r="R196" s="18" t="str">
        <x:v>Проектный профиль v1</x:v>
      </x:c>
      <x:c r="S196" s="18" t="str">
        <x:v>Экспертная классификация проекта</x:v>
      </x:c>
    </x:row>
    <x:row r="197">
      <x:c r="A197" s="18" t="str">
        <x:v>Эфиопское нагорье</x:v>
      </x:c>
      <x:c r="B197" s="18" t="str">
        <x:v>Восточная Африка</x:v>
      </x:c>
      <x:c r="C197" s="18" t="str">
        <x:v>Африка</x:v>
      </x:c>
      <x:c r="D197" s="18" t="str">
        <x:v>P5</x:v>
      </x:c>
      <x:c r="E197" s="22" t="n">
        <x:v>6500</x:v>
      </x:c>
      <x:c r="F197" s="22" t="n">
        <x:v>1</x:v>
      </x:c>
      <x:c r="G197" s="22" t="n">
        <x:v>14</x:v>
      </x:c>
      <x:c r="H197" s="22" t="n">
        <x:v>0.75</x:v>
      </x:c>
      <x:c r="I197" s="22" t="n">
        <x:v>1.3</x:v>
      </x:c>
      <x:c r="J197" s="22" t="n">
        <x:f>E197*1.5</x:f>
        <x:v>9750</x:v>
      </x:c>
      <x:c r="K197" s="22" t="n">
        <x:f>E197*2.5</x:f>
        <x:v>16250</x:v>
      </x:c>
      <x:c r="L197" s="22" t="n">
        <x:f>E197*3.5</x:f>
        <x:v>22750</x:v>
      </x:c>
      <x:c r="M197" s="22" t="n">
        <x:f>E197*4.5</x:f>
        <x:v>29250</x:v>
      </x:c>
      <x:c r="N197" s="22" t="n">
        <x:f>E197*5.5</x:f>
        <x:v>35750</x:v>
      </x:c>
      <x:c r="O197" s="22" t="n">
        <x:f>E197*7.5</x:f>
        <x:v>48750</x:v>
      </x:c>
      <x:c r="P197" s="22" t="n">
        <x:f>E197*9.5</x:f>
        <x:v>61750</x:v>
      </x:c>
      <x:c r="Q197" s="18" t="str">
        <x:v>Плотные высокогорные очаги</x:v>
      </x:c>
      <x:c r="R197" s="18" t="str">
        <x:v>Проектный профиль v1</x:v>
      </x:c>
      <x:c r="S197" s="18" t="str">
        <x:v>Экспертная классификация проекта</x:v>
      </x:c>
    </x:row>
    <x:row r="198">
      <x:c r="A198" s="18" t="str">
        <x:v>Эритрейское побережье</x:v>
      </x:c>
      <x:c r="B198" s="18" t="str">
        <x:v>Восточная Африка</x:v>
      </x:c>
      <x:c r="C198" s="18" t="str">
        <x:v>Африка</x:v>
      </x:c>
      <x:c r="D198" s="18" t="str">
        <x:v>P6</x:v>
      </x:c>
      <x:c r="E198" s="22" t="n">
        <x:v>14000</x:v>
      </x:c>
      <x:c r="F198" s="22" t="n">
        <x:v>1</x:v>
      </x:c>
      <x:c r="G198" s="22" t="n">
        <x:v>12</x:v>
      </x:c>
      <x:c r="H198" s="22" t="n">
        <x:v>0.45</x:v>
      </x:c>
      <x:c r="I198" s="22" t="n">
        <x:v>1.2</x:v>
      </x:c>
      <x:c r="J198" s="22" t="n">
        <x:f>E198*1.5</x:f>
        <x:v>21000</x:v>
      </x:c>
      <x:c r="K198" s="22" t="n">
        <x:f>E198*2.5</x:f>
        <x:v>35000</x:v>
      </x:c>
      <x:c r="L198" s="22" t="n">
        <x:f>E198*3.5</x:f>
        <x:v>49000</x:v>
      </x:c>
      <x:c r="M198" s="22" t="n">
        <x:f>E198*4.5</x:f>
        <x:v>63000</x:v>
      </x:c>
      <x:c r="N198" s="22" t="n">
        <x:f>E198*5.5</x:f>
        <x:v>77000</x:v>
      </x:c>
      <x:c r="O198" s="22" t="n">
        <x:f>E198*7.5</x:f>
        <x:v>105000</x:v>
      </x:c>
      <x:c r="P198" s="22" t="n">
        <x:f>E198*9.5</x:f>
        <x:v>133000</x:v>
      </x:c>
      <x:c r="Q198" s="18" t="str">
        <x:v>Узкое побережье и высокогорье</x:v>
      </x:c>
      <x:c r="R198" s="18" t="str">
        <x:v>Проектный профиль v1</x:v>
      </x:c>
      <x:c r="S198" s="18" t="str">
        <x:v>Экспертная классификация проекта</x:v>
      </x:c>
    </x:row>
    <x:row r="199">
      <x:c r="A199" s="18" t="str">
        <x:v>Африканский Рог</x:v>
      </x:c>
      <x:c r="B199" s="18" t="str">
        <x:v>Восточная Африка</x:v>
      </x:c>
      <x:c r="C199" s="18" t="str">
        <x:v>Африка</x:v>
      </x:c>
      <x:c r="D199" s="18" t="str">
        <x:v>P6</x:v>
      </x:c>
      <x:c r="E199" s="22" t="n">
        <x:v>22000</x:v>
      </x:c>
      <x:c r="F199" s="22" t="n">
        <x:v>1</x:v>
      </x:c>
      <x:c r="G199" s="22" t="n">
        <x:v>12</x:v>
      </x:c>
      <x:c r="H199" s="22" t="n">
        <x:v>0.3</x:v>
      </x:c>
      <x:c r="I199" s="22" t="n">
        <x:v>1.1</x:v>
      </x:c>
      <x:c r="J199" s="22" t="n">
        <x:f>E199*1.5</x:f>
        <x:v>33000</x:v>
      </x:c>
      <x:c r="K199" s="22" t="n">
        <x:f>E199*2.5</x:f>
        <x:v>55000</x:v>
      </x:c>
      <x:c r="L199" s="22" t="n">
        <x:f>E199*3.5</x:f>
        <x:v>77000</x:v>
      </x:c>
      <x:c r="M199" s="22" t="n">
        <x:f>E199*4.5</x:f>
        <x:v>99000</x:v>
      </x:c>
      <x:c r="N199" s="22" t="n">
        <x:f>E199*5.5</x:f>
        <x:v>121000</x:v>
      </x:c>
      <x:c r="O199" s="22" t="n">
        <x:f>E199*7.5</x:f>
        <x:v>165000</x:v>
      </x:c>
      <x:c r="P199" s="22" t="n">
        <x:f>E199*9.5</x:f>
        <x:v>209000</x:v>
      </x:c>
      <x:c r="Q199" s="18" t="str">
        <x:v>Засушливость и редкая сеть</x:v>
      </x:c>
      <x:c r="R199" s="18" t="str">
        <x:v>Проектный профиль v1</x:v>
      </x:c>
      <x:c r="S199" s="18" t="str">
        <x:v>Экспертная классификация проекта</x:v>
      </x:c>
    </x:row>
    <x:row r="200">
      <x:c r="A200" s="18" t="str">
        <x:v>Суданская долина Нила</x:v>
      </x:c>
      <x:c r="B200" s="18" t="str">
        <x:v>Восточная Африка</x:v>
      </x:c>
      <x:c r="C200" s="18" t="str">
        <x:v>Африка</x:v>
      </x:c>
      <x:c r="D200" s="18" t="str">
        <x:v>P5</x:v>
      </x:c>
      <x:c r="E200" s="22" t="n">
        <x:v>9000</x:v>
      </x:c>
      <x:c r="F200" s="22" t="n">
        <x:v>1</x:v>
      </x:c>
      <x:c r="G200" s="22" t="n">
        <x:v>14</x:v>
      </x:c>
      <x:c r="H200" s="22" t="n">
        <x:v>0.65</x:v>
      </x:c>
      <x:c r="I200" s="22" t="n">
        <x:v>1.05</x:v>
      </x:c>
      <x:c r="J200" s="22" t="n">
        <x:f>E200*1.5</x:f>
        <x:v>13500</x:v>
      </x:c>
      <x:c r="K200" s="22" t="n">
        <x:f>E200*2.5</x:f>
        <x:v>22500</x:v>
      </x:c>
      <x:c r="L200" s="22" t="n">
        <x:f>E200*3.5</x:f>
        <x:v>31500</x:v>
      </x:c>
      <x:c r="M200" s="22" t="n">
        <x:f>E200*4.5</x:f>
        <x:v>40500</x:v>
      </x:c>
      <x:c r="N200" s="22" t="n">
        <x:f>E200*5.5</x:f>
        <x:v>49500</x:v>
      </x:c>
      <x:c r="O200" s="22" t="n">
        <x:f>E200*7.5</x:f>
        <x:v>67500</x:v>
      </x:c>
      <x:c r="P200" s="22" t="n">
        <x:f>E200*9.5</x:f>
        <x:v>85500</x:v>
      </x:c>
      <x:c r="Q200" s="18" t="str">
        <x:v>Речная полоса среди пустынь</x:v>
      </x:c>
      <x:c r="R200" s="18" t="str">
        <x:v>Проектный профиль v1</x:v>
      </x:c>
      <x:c r="S200" s="18" t="str">
        <x:v>Экспертная классификация проекта</x:v>
      </x:c>
    </x:row>
    <x:row r="201">
      <x:c r="A201" s="18" t="str">
        <x:v>Великие озёра</x:v>
      </x:c>
      <x:c r="B201" s="18" t="str">
        <x:v>Восточная Африка</x:v>
      </x:c>
      <x:c r="C201" s="18" t="str">
        <x:v>Африка</x:v>
      </x:c>
      <x:c r="D201" s="18" t="str">
        <x:v>P4</x:v>
      </x:c>
      <x:c r="E201" s="22" t="n">
        <x:v>4500</x:v>
      </x:c>
      <x:c r="F201" s="22" t="n">
        <x:v>1</x:v>
      </x:c>
      <x:c r="G201" s="22" t="n">
        <x:v>16</x:v>
      </x:c>
      <x:c r="H201" s="22" t="n">
        <x:v>1.1</x:v>
      </x:c>
      <x:c r="I201" s="22" t="n">
        <x:v>1.2</x:v>
      </x:c>
      <x:c r="J201" s="22" t="n">
        <x:f>E201*1.5</x:f>
        <x:v>6750</x:v>
      </x:c>
      <x:c r="K201" s="22" t="n">
        <x:f>E201*2.5</x:f>
        <x:v>11250</x:v>
      </x:c>
      <x:c r="L201" s="22" t="n">
        <x:f>E201*3.5</x:f>
        <x:v>15750</x:v>
      </x:c>
      <x:c r="M201" s="22" t="n">
        <x:f>E201*4.5</x:f>
        <x:v>20250</x:v>
      </x:c>
      <x:c r="N201" s="22" t="n">
        <x:f>E201*5.5</x:f>
        <x:v>24750</x:v>
      </x:c>
      <x:c r="O201" s="22" t="n">
        <x:f>E201*7.5</x:f>
        <x:v>33750</x:v>
      </x:c>
      <x:c r="P201" s="22" t="n">
        <x:f>E201*9.5</x:f>
        <x:v>42750</x:v>
      </x:c>
      <x:c r="Q201" s="18" t="str">
        <x:v>Плотные нагорья и озёрная география</x:v>
      </x:c>
      <x:c r="R201" s="18" t="str">
        <x:v>Проектный профиль v1</x:v>
      </x:c>
      <x:c r="S201" s="18" t="str">
        <x:v>Экспертная классификация проекта</x:v>
      </x:c>
    </x:row>
    <x:row r="202">
      <x:c r="A202" s="18" t="str">
        <x:v>Кенийское нагорье</x:v>
      </x:c>
      <x:c r="B202" s="18" t="str">
        <x:v>Восточная Африка</x:v>
      </x:c>
      <x:c r="C202" s="18" t="str">
        <x:v>Африка</x:v>
      </x:c>
      <x:c r="D202" s="18" t="str">
        <x:v>P5</x:v>
      </x:c>
      <x:c r="E202" s="22" t="n">
        <x:v>7000</x:v>
      </x:c>
      <x:c r="F202" s="22" t="n">
        <x:v>1</x:v>
      </x:c>
      <x:c r="G202" s="22" t="n">
        <x:v>14</x:v>
      </x:c>
      <x:c r="H202" s="22" t="n">
        <x:v>0.85</x:v>
      </x:c>
      <x:c r="I202" s="22" t="n">
        <x:v>1.25</x:v>
      </x:c>
      <x:c r="J202" s="22" t="n">
        <x:f>E202*1.5</x:f>
        <x:v>10500</x:v>
      </x:c>
      <x:c r="K202" s="22" t="n">
        <x:f>E202*2.5</x:f>
        <x:v>17500</x:v>
      </x:c>
      <x:c r="L202" s="22" t="n">
        <x:f>E202*3.5</x:f>
        <x:v>24500</x:v>
      </x:c>
      <x:c r="M202" s="22" t="n">
        <x:f>E202*4.5</x:f>
        <x:v>31500</x:v>
      </x:c>
      <x:c r="N202" s="22" t="n">
        <x:f>E202*5.5</x:f>
        <x:v>38500</x:v>
      </x:c>
      <x:c r="O202" s="22" t="n">
        <x:f>E202*7.5</x:f>
        <x:v>52500</x:v>
      </x:c>
      <x:c r="P202" s="22" t="n">
        <x:f>E202*9.5</x:f>
        <x:v>66500</x:v>
      </x:c>
      <x:c r="Q202" s="18" t="str">
        <x:v>Высокогорья и сельское расселение</x:v>
      </x:c>
      <x:c r="R202" s="18" t="str">
        <x:v>Проектный профиль v1</x:v>
      </x:c>
      <x:c r="S202" s="18" t="str">
        <x:v>Экспертная классификация проекта</x:v>
      </x:c>
    </x:row>
    <x:row r="203">
      <x:c r="A203" s="18" t="str">
        <x:v>Побережье Суахили</x:v>
      </x:c>
      <x:c r="B203" s="18" t="str">
        <x:v>Восточная Африка</x:v>
      </x:c>
      <x:c r="C203" s="18" t="str">
        <x:v>Африка</x:v>
      </x:c>
      <x:c r="D203" s="18" t="str">
        <x:v>P5</x:v>
      </x:c>
      <x:c r="E203" s="22" t="n">
        <x:v>7000</x:v>
      </x:c>
      <x:c r="F203" s="22" t="n">
        <x:v>1</x:v>
      </x:c>
      <x:c r="G203" s="22" t="n">
        <x:v>14</x:v>
      </x:c>
      <x:c r="H203" s="22" t="n">
        <x:v>0.7</x:v>
      </x:c>
      <x:c r="I203" s="22" t="n">
        <x:v>1.15</x:v>
      </x:c>
      <x:c r="J203" s="22" t="n">
        <x:f>E203*1.5</x:f>
        <x:v>10500</x:v>
      </x:c>
      <x:c r="K203" s="22" t="n">
        <x:f>E203*2.5</x:f>
        <x:v>17500</x:v>
      </x:c>
      <x:c r="L203" s="22" t="n">
        <x:f>E203*3.5</x:f>
        <x:v>24500</x:v>
      </x:c>
      <x:c r="M203" s="22" t="n">
        <x:f>E203*4.5</x:f>
        <x:v>31500</x:v>
      </x:c>
      <x:c r="N203" s="22" t="n">
        <x:f>E203*5.5</x:f>
        <x:v>38500</x:v>
      </x:c>
      <x:c r="O203" s="22" t="n">
        <x:f>E203*7.5</x:f>
        <x:v>52500</x:v>
      </x:c>
      <x:c r="P203" s="22" t="n">
        <x:f>E203*9.5</x:f>
        <x:v>66500</x:v>
      </x:c>
      <x:c r="Q203" s="18" t="str">
        <x:v>Порты и торговые коридоры</x:v>
      </x:c>
      <x:c r="R203" s="18" t="str">
        <x:v>Проектный профиль v1</x:v>
      </x:c>
      <x:c r="S203" s="18" t="str">
        <x:v>Экспертная классификация проекта</x:v>
      </x:c>
    </x:row>
    <x:row r="204">
      <x:c r="A204" s="18" t="str">
        <x:v>Танзанийское плато</x:v>
      </x:c>
      <x:c r="B204" s="18" t="str">
        <x:v>Восточная Африка</x:v>
      </x:c>
      <x:c r="C204" s="18" t="str">
        <x:v>Африка</x:v>
      </x:c>
      <x:c r="D204" s="18" t="str">
        <x:v>P6</x:v>
      </x:c>
      <x:c r="E204" s="22" t="n">
        <x:v>13000</x:v>
      </x:c>
      <x:c r="F204" s="22" t="n">
        <x:v>1</x:v>
      </x:c>
      <x:c r="G204" s="22" t="n">
        <x:v>14</x:v>
      </x:c>
      <x:c r="H204" s="22" t="n">
        <x:v>0.45</x:v>
      </x:c>
      <x:c r="I204" s="22" t="n">
        <x:v>1.1</x:v>
      </x:c>
      <x:c r="J204" s="22" t="n">
        <x:f>E204*1.5</x:f>
        <x:v>19500</x:v>
      </x:c>
      <x:c r="K204" s="22" t="n">
        <x:f>E204*2.5</x:f>
        <x:v>32500</x:v>
      </x:c>
      <x:c r="L204" s="22" t="n">
        <x:f>E204*3.5</x:f>
        <x:v>45500</x:v>
      </x:c>
      <x:c r="M204" s="22" t="n">
        <x:f>E204*4.5</x:f>
        <x:v>58500</x:v>
      </x:c>
      <x:c r="N204" s="22" t="n">
        <x:f>E204*5.5</x:f>
        <x:v>71500</x:v>
      </x:c>
      <x:c r="O204" s="22" t="n">
        <x:f>E204*7.5</x:f>
        <x:v>97500</x:v>
      </x:c>
      <x:c r="P204" s="22" t="n">
        <x:f>E204*9.5</x:f>
        <x:v>123500</x:v>
      </x:c>
      <x:c r="Q204" s="18" t="str">
        <x:v>Большие саванны и редкие центры</x:v>
      </x:c>
      <x:c r="R204" s="18" t="str">
        <x:v>Проектный профиль v1</x:v>
      </x:c>
      <x:c r="S204" s="18" t="str">
        <x:v>Экспертная классификация проекта</x:v>
      </x:c>
    </x:row>
    <x:row r="205">
      <x:c r="A205" s="18" t="str">
        <x:v>Замбези</x:v>
      </x:c>
      <x:c r="B205" s="18" t="str">
        <x:v>Южная Африка</x:v>
      </x:c>
      <x:c r="C205" s="18" t="str">
        <x:v>Африка</x:v>
      </x:c>
      <x:c r="D205" s="18" t="str">
        <x:v>P6</x:v>
      </x:c>
      <x:c r="E205" s="22" t="n">
        <x:v>14000</x:v>
      </x:c>
      <x:c r="F205" s="22" t="n">
        <x:v>1</x:v>
      </x:c>
      <x:c r="G205" s="22" t="n">
        <x:v>14</x:v>
      </x:c>
      <x:c r="H205" s="22" t="n">
        <x:v>0.5</x:v>
      </x:c>
      <x:c r="I205" s="22" t="n">
        <x:v>1.1</x:v>
      </x:c>
      <x:c r="J205" s="22" t="n">
        <x:f>E205*1.5</x:f>
        <x:v>21000</x:v>
      </x:c>
      <x:c r="K205" s="22" t="n">
        <x:f>E205*2.5</x:f>
        <x:v>35000</x:v>
      </x:c>
      <x:c r="L205" s="22" t="n">
        <x:f>E205*3.5</x:f>
        <x:v>49000</x:v>
      </x:c>
      <x:c r="M205" s="22" t="n">
        <x:f>E205*4.5</x:f>
        <x:v>63000</x:v>
      </x:c>
      <x:c r="N205" s="22" t="n">
        <x:f>E205*5.5</x:f>
        <x:v>77000</x:v>
      </x:c>
      <x:c r="O205" s="22" t="n">
        <x:f>E205*7.5</x:f>
        <x:v>105000</x:v>
      </x:c>
      <x:c r="P205" s="22" t="n">
        <x:f>E205*9.5</x:f>
        <x:v>133000</x:v>
      </x:c>
      <x:c r="Q205" s="18" t="str">
        <x:v>Речные коридоры и плато</x:v>
      </x:c>
      <x:c r="R205" s="18" t="str">
        <x:v>Проектный профиль v1</x:v>
      </x:c>
      <x:c r="S205" s="18" t="str">
        <x:v>Экспертная классификация проекта</x:v>
      </x:c>
    </x:row>
    <x:row r="206">
      <x:c r="A206" s="18" t="str">
        <x:v>Южноафриканский Хайвельд</x:v>
      </x:c>
      <x:c r="B206" s="18" t="str">
        <x:v>Южная Африка</x:v>
      </x:c>
      <x:c r="C206" s="18" t="str">
        <x:v>Африка</x:v>
      </x:c>
      <x:c r="D206" s="18" t="str">
        <x:v>P5</x:v>
      </x:c>
      <x:c r="E206" s="22" t="n">
        <x:v>9000</x:v>
      </x:c>
      <x:c r="F206" s="22" t="n">
        <x:v>1</x:v>
      </x:c>
      <x:c r="G206" s="22" t="n">
        <x:v>16</x:v>
      </x:c>
      <x:c r="H206" s="22" t="n">
        <x:v>0.75</x:v>
      </x:c>
      <x:c r="I206" s="22" t="n">
        <x:v>1.05</x:v>
      </x:c>
      <x:c r="J206" s="22" t="n">
        <x:f>E206*1.5</x:f>
        <x:v>13500</x:v>
      </x:c>
      <x:c r="K206" s="22" t="n">
        <x:f>E206*2.5</x:f>
        <x:v>22500</x:v>
      </x:c>
      <x:c r="L206" s="22" t="n">
        <x:f>E206*3.5</x:f>
        <x:v>31500</x:v>
      </x:c>
      <x:c r="M206" s="22" t="n">
        <x:f>E206*4.5</x:f>
        <x:v>40500</x:v>
      </x:c>
      <x:c r="N206" s="22" t="n">
        <x:f>E206*5.5</x:f>
        <x:v>49500</x:v>
      </x:c>
      <x:c r="O206" s="22" t="n">
        <x:f>E206*7.5</x:f>
        <x:v>67500</x:v>
      </x:c>
      <x:c r="P206" s="22" t="n">
        <x:f>E206*9.5</x:f>
        <x:v>85500</x:v>
      </x:c>
      <x:c r="Q206" s="18" t="str">
        <x:v>Широкие, но относительно освоенные пространства</x:v>
      </x:c>
      <x:c r="R206" s="18" t="str">
        <x:v>Проектный профиль v1</x:v>
      </x:c>
      <x:c r="S206" s="18" t="str">
        <x:v>Экспертная классификация проекта</x:v>
      </x:c>
    </x:row>
    <x:row r="207">
      <x:c r="A207" s="18" t="str">
        <x:v>Капская область</x:v>
      </x:c>
      <x:c r="B207" s="18" t="str">
        <x:v>Южная Африка</x:v>
      </x:c>
      <x:c r="C207" s="18" t="str">
        <x:v>Африка</x:v>
      </x:c>
      <x:c r="D207" s="18" t="str">
        <x:v>P4</x:v>
      </x:c>
      <x:c r="E207" s="22" t="n">
        <x:v>5000</x:v>
      </x:c>
      <x:c r="F207" s="22" t="n">
        <x:v>1</x:v>
      </x:c>
      <x:c r="G207" s="22" t="n">
        <x:v>14</x:v>
      </x:c>
      <x:c r="H207" s="22" t="n">
        <x:v>1</x:v>
      </x:c>
      <x:c r="I207" s="22" t="n">
        <x:v>1.2</x:v>
      </x:c>
      <x:c r="J207" s="22" t="n">
        <x:f>E207*1.5</x:f>
        <x:v>7500</x:v>
      </x:c>
      <x:c r="K207" s="22" t="n">
        <x:f>E207*2.5</x:f>
        <x:v>12500</x:v>
      </x:c>
      <x:c r="L207" s="22" t="n">
        <x:f>E207*3.5</x:f>
        <x:v>17500</x:v>
      </x:c>
      <x:c r="M207" s="22" t="n">
        <x:f>E207*4.5</x:f>
        <x:v>22500</x:v>
      </x:c>
      <x:c r="N207" s="22" t="n">
        <x:f>E207*5.5</x:f>
        <x:v>27500</x:v>
      </x:c>
      <x:c r="O207" s="22" t="n">
        <x:f>E207*7.5</x:f>
        <x:v>37500</x:v>
      </x:c>
      <x:c r="P207" s="22" t="n">
        <x:f>E207*9.5</x:f>
        <x:v>47500</x:v>
      </x:c>
      <x:c r="Q207" s="18" t="str">
        <x:v>Побережье, горы и аграрные долины</x:v>
      </x:c>
      <x:c r="R207" s="18" t="str">
        <x:v>Проектный профиль v1</x:v>
      </x:c>
      <x:c r="S207" s="18" t="str">
        <x:v>Экспертная классификация проекта</x:v>
      </x:c>
    </x:row>
    <x:row r="208">
      <x:c r="A208" s="18" t="str">
        <x:v>Натал и Драконовы горы</x:v>
      </x:c>
      <x:c r="B208" s="18" t="str">
        <x:v>Южная Африка</x:v>
      </x:c>
      <x:c r="C208" s="18" t="str">
        <x:v>Африка</x:v>
      </x:c>
      <x:c r="D208" s="18" t="str">
        <x:v>P5</x:v>
      </x:c>
      <x:c r="E208" s="22" t="n">
        <x:v>7000</x:v>
      </x:c>
      <x:c r="F208" s="22" t="n">
        <x:v>1</x:v>
      </x:c>
      <x:c r="G208" s="22" t="n">
        <x:v>14</x:v>
      </x:c>
      <x:c r="H208" s="22" t="n">
        <x:v>0.85</x:v>
      </x:c>
      <x:c r="I208" s="22" t="n">
        <x:v>1.3</x:v>
      </x:c>
      <x:c r="J208" s="22" t="n">
        <x:f>E208*1.5</x:f>
        <x:v>10500</x:v>
      </x:c>
      <x:c r="K208" s="22" t="n">
        <x:f>E208*2.5</x:f>
        <x:v>17500</x:v>
      </x:c>
      <x:c r="L208" s="22" t="n">
        <x:f>E208*3.5</x:f>
        <x:v>24500</x:v>
      </x:c>
      <x:c r="M208" s="22" t="n">
        <x:f>E208*4.5</x:f>
        <x:v>31500</x:v>
      </x:c>
      <x:c r="N208" s="22" t="n">
        <x:f>E208*5.5</x:f>
        <x:v>38500</x:v>
      </x:c>
      <x:c r="O208" s="22" t="n">
        <x:f>E208*7.5</x:f>
        <x:v>52500</x:v>
      </x:c>
      <x:c r="P208" s="22" t="n">
        <x:f>E208*9.5</x:f>
        <x:v>66500</x:v>
      </x:c>
      <x:c r="Q208" s="18" t="str">
        <x:v>Плотное побережье и горная рамка</x:v>
      </x:c>
      <x:c r="R208" s="18" t="str">
        <x:v>Проектный профиль v1</x:v>
      </x:c>
      <x:c r="S208" s="18" t="str">
        <x:v>Экспертная классификация проекта</x:v>
      </x:c>
    </x:row>
    <x:row r="209">
      <x:c r="A209" s="18" t="str">
        <x:v>Калахари и Намиб</x:v>
      </x:c>
      <x:c r="B209" s="18" t="str">
        <x:v>Южная Африка</x:v>
      </x:c>
      <x:c r="C209" s="18" t="str">
        <x:v>Африка</x:v>
      </x:c>
      <x:c r="D209" s="18" t="str">
        <x:v>P7</x:v>
      </x:c>
      <x:c r="E209" s="22" t="n">
        <x:v>50000</x:v>
      </x:c>
      <x:c r="F209" s="22" t="n">
        <x:v>1</x:v>
      </x:c>
      <x:c r="G209" s="22" t="n">
        <x:v>12</x:v>
      </x:c>
      <x:c r="H209" s="22" t="n">
        <x:v>0.12</x:v>
      </x:c>
      <x:c r="I209" s="22" t="n">
        <x:v>1</x:v>
      </x:c>
      <x:c r="J209" s="22" t="n">
        <x:f>E209*1.5</x:f>
        <x:v>75000</x:v>
      </x:c>
      <x:c r="K209" s="22" t="n">
        <x:f>E209*2.5</x:f>
        <x:v>125000</x:v>
      </x:c>
      <x:c r="L209" s="22" t="n">
        <x:f>E209*3.5</x:f>
        <x:v>175000</x:v>
      </x:c>
      <x:c r="M209" s="22" t="n">
        <x:f>E209*4.5</x:f>
        <x:v>225000</x:v>
      </x:c>
      <x:c r="N209" s="22" t="n">
        <x:f>E209*5.5</x:f>
        <x:v>275000</x:v>
      </x:c>
      <x:c r="O209" s="22" t="n">
        <x:f>E209*7.5</x:f>
        <x:v>375000</x:v>
      </x:c>
      <x:c r="P209" s="22" t="n">
        <x:f>E209*9.5</x:f>
        <x:v>475000</x:v>
      </x:c>
      <x:c r="Q209" s="18" t="str">
        <x:v>Пустынные и полупустынные пространства</x:v>
      </x:c>
      <x:c r="R209" s="18" t="str">
        <x:v>Проектный профиль v1</x:v>
      </x:c>
      <x:c r="S209" s="18" t="str">
        <x:v>Экспертная классификация проекта</x:v>
      </x:c>
    </x:row>
    <x:row r="210">
      <x:c r="A210" s="18" t="str">
        <x:v>Мадагаскарское нагорье</x:v>
      </x:c>
      <x:c r="B210" s="18" t="str">
        <x:v>Мадагаскар</x:v>
      </x:c>
      <x:c r="C210" s="18" t="str">
        <x:v>Африка</x:v>
      </x:c>
      <x:c r="D210" s="18" t="str">
        <x:v>P5</x:v>
      </x:c>
      <x:c r="E210" s="22" t="n">
        <x:v>9000</x:v>
      </x:c>
      <x:c r="F210" s="22" t="n">
        <x:v>1</x:v>
      </x:c>
      <x:c r="G210" s="22" t="n">
        <x:v>14</x:v>
      </x:c>
      <x:c r="H210" s="22" t="n">
        <x:v>0.65</x:v>
      </x:c>
      <x:c r="I210" s="22" t="n">
        <x:v>1.2</x:v>
      </x:c>
      <x:c r="J210" s="22" t="n">
        <x:f>E210*1.5</x:f>
        <x:v>13500</x:v>
      </x:c>
      <x:c r="K210" s="22" t="n">
        <x:f>E210*2.5</x:f>
        <x:v>22500</x:v>
      </x:c>
      <x:c r="L210" s="22" t="n">
        <x:f>E210*3.5</x:f>
        <x:v>31500</x:v>
      </x:c>
      <x:c r="M210" s="22" t="n">
        <x:f>E210*4.5</x:f>
        <x:v>40500</x:v>
      </x:c>
      <x:c r="N210" s="22" t="n">
        <x:f>E210*5.5</x:f>
        <x:v>49500</x:v>
      </x:c>
      <x:c r="O210" s="22" t="n">
        <x:f>E210*7.5</x:f>
        <x:v>67500</x:v>
      </x:c>
      <x:c r="P210" s="22" t="n">
        <x:f>E210*9.5</x:f>
        <x:v>85500</x:v>
      </x:c>
      <x:c r="Q210" s="18" t="str">
        <x:v>Горное ядро и изолированные долины</x:v>
      </x:c>
      <x:c r="R210" s="18" t="str">
        <x:v>Проектный профиль v1</x:v>
      </x:c>
      <x:c r="S210" s="18" t="str">
        <x:v>Экспертная классификация проекта</x:v>
      </x:c>
    </x:row>
    <x:row r="211">
      <x:c r="A211" s="18" t="str">
        <x:v>Мадагаскарское побережье</x:v>
      </x:c>
      <x:c r="B211" s="18" t="str">
        <x:v>Мадагаскар</x:v>
      </x:c>
      <x:c r="C211" s="18" t="str">
        <x:v>Африка</x:v>
      </x:c>
      <x:c r="D211" s="18" t="str">
        <x:v>P6</x:v>
      </x:c>
      <x:c r="E211" s="22" t="n">
        <x:v>14000</x:v>
      </x:c>
      <x:c r="F211" s="22" t="n">
        <x:v>1</x:v>
      </x:c>
      <x:c r="G211" s="22" t="n">
        <x:v>12</x:v>
      </x:c>
      <x:c r="H211" s="22" t="n">
        <x:v>0.45</x:v>
      </x:c>
      <x:c r="I211" s="22" t="n">
        <x:v>1.2</x:v>
      </x:c>
      <x:c r="J211" s="22" t="n">
        <x:f>E211*1.5</x:f>
        <x:v>21000</x:v>
      </x:c>
      <x:c r="K211" s="22" t="n">
        <x:f>E211*2.5</x:f>
        <x:v>35000</x:v>
      </x:c>
      <x:c r="L211" s="22" t="n">
        <x:f>E211*3.5</x:f>
        <x:v>49000</x:v>
      </x:c>
      <x:c r="M211" s="22" t="n">
        <x:f>E211*4.5</x:f>
        <x:v>63000</x:v>
      </x:c>
      <x:c r="N211" s="22" t="n">
        <x:f>E211*5.5</x:f>
        <x:v>77000</x:v>
      </x:c>
      <x:c r="O211" s="22" t="n">
        <x:f>E211*7.5</x:f>
        <x:v>105000</x:v>
      </x:c>
      <x:c r="P211" s="22" t="n">
        <x:f>E211*9.5</x:f>
        <x:v>133000</x:v>
      </x:c>
      <x:c r="Q211" s="18" t="str">
        <x:v>Длинные прибрежные зоны и леса</x:v>
      </x:c>
      <x:c r="R211" s="18" t="str">
        <x:v>Проектный профиль v1</x:v>
      </x:c>
      <x:c r="S211" s="18" t="str">
        <x:v>Экспертная классификация проекта</x:v>
      </x:c>
    </x:row>
    <x:row r="212">
      <x:c r="A212" s="18" t="str">
        <x:v>Новая Англия</x:v>
      </x:c>
      <x:c r="B212" s="18" t="str">
        <x:v>Северо-Восток Северной Америки</x:v>
      </x:c>
      <x:c r="C212" s="18" t="str">
        <x:v>Америка</x:v>
      </x:c>
      <x:c r="D212" s="18" t="str">
        <x:v>P3</x:v>
      </x:c>
      <x:c r="E212" s="22" t="n">
        <x:v>2300</x:v>
      </x:c>
      <x:c r="F212" s="22" t="n">
        <x:v>1</x:v>
      </x:c>
      <x:c r="G212" s="22" t="n">
        <x:v>14</x:v>
      </x:c>
      <x:c r="H212" s="22" t="n">
        <x:v>1.35</x:v>
      </x:c>
      <x:c r="I212" s="22" t="n">
        <x:v>1.15</x:v>
      </x:c>
      <x:c r="J212" s="22" t="n">
        <x:f>E212*1.5</x:f>
        <x:v>3450</x:v>
      </x:c>
      <x:c r="K212" s="22" t="n">
        <x:f>E212*2.5</x:f>
        <x:v>5750</x:v>
      </x:c>
      <x:c r="L212" s="22" t="n">
        <x:f>E212*3.5</x:f>
        <x:v>8050</x:v>
      </x:c>
      <x:c r="M212" s="22" t="n">
        <x:f>E212*4.5</x:f>
        <x:v>10350</x:v>
      </x:c>
      <x:c r="N212" s="22" t="n">
        <x:f>E212*5.5</x:f>
        <x:v>12650</x:v>
      </x:c>
      <x:c r="O212" s="22" t="n">
        <x:f>E212*7.5</x:f>
        <x:v>17250</x:v>
      </x:c>
      <x:c r="P212" s="22" t="n">
        <x:f>E212*9.5</x:f>
        <x:v>21850</x:v>
      </x:c>
      <x:c r="Q212" s="18" t="str">
        <x:v>Плотная сеть городов, леса и побережье</x:v>
      </x:c>
      <x:c r="R212" s="18" t="str">
        <x:v>Проектный профиль v1</x:v>
      </x:c>
      <x:c r="S212" s="18" t="str">
        <x:v>Экспертная классификация проекта</x:v>
      </x:c>
    </x:row>
    <x:row r="213">
      <x:c r="A213" s="18" t="str">
        <x:v>Среднеатлантическое побережье</x:v>
      </x:c>
      <x:c r="B213" s="18" t="str">
        <x:v>Северо-Восток Северной Америки</x:v>
      </x:c>
      <x:c r="C213" s="18" t="str">
        <x:v>Америка</x:v>
      </x:c>
      <x:c r="D213" s="18" t="str">
        <x:v>P3</x:v>
      </x:c>
      <x:c r="E213" s="22" t="n">
        <x:v>2200</x:v>
      </x:c>
      <x:c r="F213" s="22" t="n">
        <x:v>1</x:v>
      </x:c>
      <x:c r="G213" s="22" t="n">
        <x:v>14</x:v>
      </x:c>
      <x:c r="H213" s="22" t="n">
        <x:v>1.5</x:v>
      </x:c>
      <x:c r="I213" s="22" t="n">
        <x:v>1.05</x:v>
      </x:c>
      <x:c r="J213" s="22" t="n">
        <x:f>E213*1.5</x:f>
        <x:v>3300</x:v>
      </x:c>
      <x:c r="K213" s="22" t="n">
        <x:f>E213*2.5</x:f>
        <x:v>5500</x:v>
      </x:c>
      <x:c r="L213" s="22" t="n">
        <x:f>E213*3.5</x:f>
        <x:v>7700</x:v>
      </x:c>
      <x:c r="M213" s="22" t="n">
        <x:f>E213*4.5</x:f>
        <x:v>9900</x:v>
      </x:c>
      <x:c r="N213" s="22" t="n">
        <x:f>E213*5.5</x:f>
        <x:v>12100</x:v>
      </x:c>
      <x:c r="O213" s="22" t="n">
        <x:f>E213*7.5</x:f>
        <x:v>16500</x:v>
      </x:c>
      <x:c r="P213" s="22" t="n">
        <x:f>E213*9.5</x:f>
        <x:v>20900</x:v>
      </x:c>
      <x:c r="Q213" s="18" t="str">
        <x:v>Плотная городская ось</x:v>
      </x:c>
      <x:c r="R213" s="18" t="str">
        <x:v>Проектный профиль v1</x:v>
      </x:c>
      <x:c r="S213" s="18" t="str">
        <x:v>Экспертная классификация проекта</x:v>
      </x:c>
    </x:row>
    <x:row r="214">
      <x:c r="A214" s="18" t="str">
        <x:v>Аппалачи</x:v>
      </x:c>
      <x:c r="B214" s="18" t="str">
        <x:v>Восток Северной Америки</x:v>
      </x:c>
      <x:c r="C214" s="18" t="str">
        <x:v>Америка</x:v>
      </x:c>
      <x:c r="D214" s="18" t="str">
        <x:v>P5</x:v>
      </x:c>
      <x:c r="E214" s="22" t="n">
        <x:v>7000</x:v>
      </x:c>
      <x:c r="F214" s="22" t="n">
        <x:v>1</x:v>
      </x:c>
      <x:c r="G214" s="22" t="n">
        <x:v>14</x:v>
      </x:c>
      <x:c r="H214" s="22" t="n">
        <x:v>0.7</x:v>
      </x:c>
      <x:c r="I214" s="22" t="n">
        <x:v>1.3</x:v>
      </x:c>
      <x:c r="J214" s="22" t="n">
        <x:f>E214*1.5</x:f>
        <x:v>10500</x:v>
      </x:c>
      <x:c r="K214" s="22" t="n">
        <x:f>E214*2.5</x:f>
        <x:v>17500</x:v>
      </x:c>
      <x:c r="L214" s="22" t="n">
        <x:f>E214*3.5</x:f>
        <x:v>24500</x:v>
      </x:c>
      <x:c r="M214" s="22" t="n">
        <x:f>E214*4.5</x:f>
        <x:v>31500</x:v>
      </x:c>
      <x:c r="N214" s="22" t="n">
        <x:f>E214*5.5</x:f>
        <x:v>38500</x:v>
      </x:c>
      <x:c r="O214" s="22" t="n">
        <x:f>E214*7.5</x:f>
        <x:v>52500</x:v>
      </x:c>
      <x:c r="P214" s="22" t="n">
        <x:f>E214*9.5</x:f>
        <x:v>66500</x:v>
      </x:c>
      <x:c r="Q214" s="18" t="str">
        <x:v>Горные долины и хребты</x:v>
      </x:c>
      <x:c r="R214" s="18" t="str">
        <x:v>Проектный профиль v1</x:v>
      </x:c>
      <x:c r="S214" s="18" t="str">
        <x:v>Экспертная классификация проекта</x:v>
      </x:c>
    </x:row>
    <x:row r="215">
      <x:c r="A215" s="18" t="str">
        <x:v>Юго-Восток США</x:v>
      </x:c>
      <x:c r="B215" s="18" t="str">
        <x:v>Восток Северной Америки</x:v>
      </x:c>
      <x:c r="C215" s="18" t="str">
        <x:v>Америка</x:v>
      </x:c>
      <x:c r="D215" s="18" t="str">
        <x:v>P4</x:v>
      </x:c>
      <x:c r="E215" s="22" t="n">
        <x:v>5500</x:v>
      </x:c>
      <x:c r="F215" s="22" t="n">
        <x:v>1</x:v>
      </x:c>
      <x:c r="G215" s="22" t="n">
        <x:v>16</x:v>
      </x:c>
      <x:c r="H215" s="22" t="n">
        <x:v>0.95</x:v>
      </x:c>
      <x:c r="I215" s="22" t="n">
        <x:v>1.05</x:v>
      </x:c>
      <x:c r="J215" s="22" t="n">
        <x:f>E215*1.5</x:f>
        <x:v>8250</x:v>
      </x:c>
      <x:c r="K215" s="22" t="n">
        <x:f>E215*2.5</x:f>
        <x:v>13750</x:v>
      </x:c>
      <x:c r="L215" s="22" t="n">
        <x:f>E215*3.5</x:f>
        <x:v>19250</x:v>
      </x:c>
      <x:c r="M215" s="22" t="n">
        <x:f>E215*4.5</x:f>
        <x:v>24750</x:v>
      </x:c>
      <x:c r="N215" s="22" t="n">
        <x:f>E215*5.5</x:f>
        <x:v>30250</x:v>
      </x:c>
      <x:c r="O215" s="22" t="n">
        <x:f>E215*7.5</x:f>
        <x:v>41250</x:v>
      </x:c>
      <x:c r="P215" s="22" t="n">
        <x:f>E215*9.5</x:f>
        <x:v>52250</x:v>
      </x:c>
      <x:c r="Q215" s="18" t="str">
        <x:v>Широкие аграрные территории</x:v>
      </x:c>
      <x:c r="R215" s="18" t="str">
        <x:v>Проектный профиль v1</x:v>
      </x:c>
      <x:c r="S215" s="18" t="str">
        <x:v>Экспертная классификация проекта</x:v>
      </x:c>
    </x:row>
    <x:row r="216">
      <x:c r="A216" s="18" t="str">
        <x:v>Флорида</x:v>
      </x:c>
      <x:c r="B216" s="18" t="str">
        <x:v>Восток Северной Америки</x:v>
      </x:c>
      <x:c r="C216" s="18" t="str">
        <x:v>Америка</x:v>
      </x:c>
      <x:c r="D216" s="18" t="str">
        <x:v>P4</x:v>
      </x:c>
      <x:c r="E216" s="22" t="n">
        <x:v>4500</x:v>
      </x:c>
      <x:c r="F216" s="22" t="n">
        <x:v>1</x:v>
      </x:c>
      <x:c r="G216" s="22" t="n">
        <x:v>14</x:v>
      </x:c>
      <x:c r="H216" s="22" t="n">
        <x:v>1</x:v>
      </x:c>
      <x:c r="I216" s="22" t="n">
        <x:v>1.2</x:v>
      </x:c>
      <x:c r="J216" s="22" t="n">
        <x:f>E216*1.5</x:f>
        <x:v>6750</x:v>
      </x:c>
      <x:c r="K216" s="22" t="n">
        <x:f>E216*2.5</x:f>
        <x:v>11250</x:v>
      </x:c>
      <x:c r="L216" s="22" t="n">
        <x:f>E216*3.5</x:f>
        <x:v>15750</x:v>
      </x:c>
      <x:c r="M216" s="22" t="n">
        <x:f>E216*4.5</x:f>
        <x:v>20250</x:v>
      </x:c>
      <x:c r="N216" s="22" t="n">
        <x:f>E216*5.5</x:f>
        <x:v>24750</x:v>
      </x:c>
      <x:c r="O216" s="22" t="n">
        <x:f>E216*7.5</x:f>
        <x:v>33750</x:v>
      </x:c>
      <x:c r="P216" s="22" t="n">
        <x:f>E216*9.5</x:f>
        <x:v>42750</x:v>
      </x:c>
      <x:c r="Q216" s="18" t="str">
        <x:v>Полуостров, болота и побережье</x:v>
      </x:c>
      <x:c r="R216" s="18" t="str">
        <x:v>Проектный профиль v1</x:v>
      </x:c>
      <x:c r="S216" s="18" t="str">
        <x:v>Экспертная классификация проекта</x:v>
      </x:c>
    </x:row>
    <x:row r="217">
      <x:c r="A217" s="18" t="str">
        <x:v>Район Великих озёр</x:v>
      </x:c>
      <x:c r="B217" s="18" t="str">
        <x:v>Центр Северной Америки</x:v>
      </x:c>
      <x:c r="C217" s="18" t="str">
        <x:v>Америка</x:v>
      </x:c>
      <x:c r="D217" s="18" t="str">
        <x:v>P4</x:v>
      </x:c>
      <x:c r="E217" s="22" t="n">
        <x:v>5000</x:v>
      </x:c>
      <x:c r="F217" s="22" t="n">
        <x:v>1</x:v>
      </x:c>
      <x:c r="G217" s="22" t="n">
        <x:v>16</x:v>
      </x:c>
      <x:c r="H217" s="22" t="n">
        <x:v>1</x:v>
      </x:c>
      <x:c r="I217" s="22" t="n">
        <x:v>1.05</x:v>
      </x:c>
      <x:c r="J217" s="22" t="n">
        <x:f>E217*1.5</x:f>
        <x:v>7500</x:v>
      </x:c>
      <x:c r="K217" s="22" t="n">
        <x:f>E217*2.5</x:f>
        <x:v>12500</x:v>
      </x:c>
      <x:c r="L217" s="22" t="n">
        <x:f>E217*3.5</x:f>
        <x:v>17500</x:v>
      </x:c>
      <x:c r="M217" s="22" t="n">
        <x:f>E217*4.5</x:f>
        <x:v>22500</x:v>
      </x:c>
      <x:c r="N217" s="22" t="n">
        <x:f>E217*5.5</x:f>
        <x:v>27500</x:v>
      </x:c>
      <x:c r="O217" s="22" t="n">
        <x:f>E217*7.5</x:f>
        <x:v>37500</x:v>
      </x:c>
      <x:c r="P217" s="22" t="n">
        <x:f>E217*9.5</x:f>
        <x:v>47500</x:v>
      </x:c>
      <x:c r="Q217" s="18" t="str">
        <x:v>Крупные равнины и города</x:v>
      </x:c>
      <x:c r="R217" s="18" t="str">
        <x:v>Проектный профиль v1</x:v>
      </x:c>
      <x:c r="S217" s="18" t="str">
        <x:v>Экспертная классификация проекта</x:v>
      </x:c>
    </x:row>
    <x:row r="218">
      <x:c r="A218" s="18" t="str">
        <x:v>Долина Миссисипи</x:v>
      </x:c>
      <x:c r="B218" s="18" t="str">
        <x:v>Центр Северной Америки</x:v>
      </x:c>
      <x:c r="C218" s="18" t="str">
        <x:v>Америка</x:v>
      </x:c>
      <x:c r="D218" s="18" t="str">
        <x:v>P5</x:v>
      </x:c>
      <x:c r="E218" s="22" t="n">
        <x:v>7000</x:v>
      </x:c>
      <x:c r="F218" s="22" t="n">
        <x:v>1</x:v>
      </x:c>
      <x:c r="G218" s="22" t="n">
        <x:v>16</x:v>
      </x:c>
      <x:c r="H218" s="22" t="n">
        <x:v>0.85</x:v>
      </x:c>
      <x:c r="I218" s="22" t="n">
        <x:v>1</x:v>
      </x:c>
      <x:c r="J218" s="22" t="n">
        <x:f>E218*1.5</x:f>
        <x:v>10500</x:v>
      </x:c>
      <x:c r="K218" s="22" t="n">
        <x:f>E218*2.5</x:f>
        <x:v>17500</x:v>
      </x:c>
      <x:c r="L218" s="22" t="n">
        <x:f>E218*3.5</x:f>
        <x:v>24500</x:v>
      </x:c>
      <x:c r="M218" s="22" t="n">
        <x:f>E218*4.5</x:f>
        <x:v>31500</x:v>
      </x:c>
      <x:c r="N218" s="22" t="n">
        <x:f>E218*5.5</x:f>
        <x:v>38500</x:v>
      </x:c>
      <x:c r="O218" s="22" t="n">
        <x:f>E218*7.5</x:f>
        <x:v>52500</x:v>
      </x:c>
      <x:c r="P218" s="22" t="n">
        <x:f>E218*9.5</x:f>
        <x:v>66500</x:v>
      </x:c>
      <x:c r="Q218" s="18" t="str">
        <x:v>Крупная речная ось</x:v>
      </x:c>
      <x:c r="R218" s="18" t="str">
        <x:v>Проектный профиль v1</x:v>
      </x:c>
      <x:c r="S218" s="18" t="str">
        <x:v>Экспертная классификация проекта</x:v>
      </x:c>
    </x:row>
    <x:row r="219">
      <x:c r="A219" s="18" t="str">
        <x:v>Великие равнины</x:v>
      </x:c>
      <x:c r="B219" s="18" t="str">
        <x:v>Центр Северной Америки</x:v>
      </x:c>
      <x:c r="C219" s="18" t="str">
        <x:v>Америка</x:v>
      </x:c>
      <x:c r="D219" s="18" t="str">
        <x:v>P6</x:v>
      </x:c>
      <x:c r="E219" s="22" t="n">
        <x:v>13000</x:v>
      </x:c>
      <x:c r="F219" s="22" t="n">
        <x:v>1</x:v>
      </x:c>
      <x:c r="G219" s="22" t="n">
        <x:v>16</x:v>
      </x:c>
      <x:c r="H219" s="22" t="n">
        <x:v>0.55</x:v>
      </x:c>
      <x:c r="I219" s="22" t="n">
        <x:v>0.95</x:v>
      </x:c>
      <x:c r="J219" s="22" t="n">
        <x:f>E219*1.5</x:f>
        <x:v>19500</x:v>
      </x:c>
      <x:c r="K219" s="22" t="n">
        <x:f>E219*2.5</x:f>
        <x:v>32500</x:v>
      </x:c>
      <x:c r="L219" s="22" t="n">
        <x:f>E219*3.5</x:f>
        <x:v>45500</x:v>
      </x:c>
      <x:c r="M219" s="22" t="n">
        <x:f>E219*4.5</x:f>
        <x:v>58500</x:v>
      </x:c>
      <x:c r="N219" s="22" t="n">
        <x:f>E219*5.5</x:f>
        <x:v>71500</x:v>
      </x:c>
      <x:c r="O219" s="22" t="n">
        <x:f>E219*7.5</x:f>
        <x:v>97500</x:v>
      </x:c>
      <x:c r="P219" s="22" t="n">
        <x:f>E219*9.5</x:f>
        <x:v>123500</x:v>
      </x:c>
      <x:c r="Q219" s="18" t="str">
        <x:v>Большие открытые пространства</x:v>
      </x:c>
      <x:c r="R219" s="18" t="str">
        <x:v>Проектный профиль v1</x:v>
      </x:c>
      <x:c r="S219" s="18" t="str">
        <x:v>Экспертная классификация проекта</x:v>
      </x:c>
    </x:row>
    <x:row r="220">
      <x:c r="A220" s="18" t="str">
        <x:v>Техас и нижний Рио-Гранде</x:v>
      </x:c>
      <x:c r="B220" s="18" t="str">
        <x:v>Юг Северной Америки</x:v>
      </x:c>
      <x:c r="C220" s="18" t="str">
        <x:v>Америка</x:v>
      </x:c>
      <x:c r="D220" s="18" t="str">
        <x:v>P5</x:v>
      </x:c>
      <x:c r="E220" s="22" t="n">
        <x:v>9000</x:v>
      </x:c>
      <x:c r="F220" s="22" t="n">
        <x:v>1</x:v>
      </x:c>
      <x:c r="G220" s="22" t="n">
        <x:v>16</x:v>
      </x:c>
      <x:c r="H220" s="22" t="n">
        <x:v>0.8</x:v>
      </x:c>
      <x:c r="I220" s="22" t="n">
        <x:v>1</x:v>
      </x:c>
      <x:c r="J220" s="22" t="n">
        <x:f>E220*1.5</x:f>
        <x:v>13500</x:v>
      </x:c>
      <x:c r="K220" s="22" t="n">
        <x:f>E220*2.5</x:f>
        <x:v>22500</x:v>
      </x:c>
      <x:c r="L220" s="22" t="n">
        <x:f>E220*3.5</x:f>
        <x:v>31500</x:v>
      </x:c>
      <x:c r="M220" s="22" t="n">
        <x:f>E220*4.5</x:f>
        <x:v>40500</x:v>
      </x:c>
      <x:c r="N220" s="22" t="n">
        <x:f>E220*5.5</x:f>
        <x:v>49500</x:v>
      </x:c>
      <x:c r="O220" s="22" t="n">
        <x:f>E220*7.5</x:f>
        <x:v>67500</x:v>
      </x:c>
      <x:c r="P220" s="22" t="n">
        <x:f>E220*9.5</x:f>
        <x:v>85500</x:v>
      </x:c>
      <x:c r="Q220" s="18" t="str">
        <x:v>Большие равнины и городские узлы</x:v>
      </x:c>
      <x:c r="R220" s="18" t="str">
        <x:v>Проектный профиль v1</x:v>
      </x:c>
      <x:c r="S220" s="18" t="str">
        <x:v>Экспертная классификация проекта</x:v>
      </x:c>
    </x:row>
    <x:row r="221">
      <x:c r="A221" s="18" t="str">
        <x:v>Скалистые горы</x:v>
      </x:c>
      <x:c r="B221" s="18" t="str">
        <x:v>Запад Северной Америки</x:v>
      </x:c>
      <x:c r="C221" s="18" t="str">
        <x:v>Америка</x:v>
      </x:c>
      <x:c r="D221" s="18" t="str">
        <x:v>P6</x:v>
      </x:c>
      <x:c r="E221" s="22" t="n">
        <x:v>22000</x:v>
      </x:c>
      <x:c r="F221" s="22" t="n">
        <x:v>1</x:v>
      </x:c>
      <x:c r="G221" s="22" t="n">
        <x:v>14</x:v>
      </x:c>
      <x:c r="H221" s="22" t="n">
        <x:v>0.35</x:v>
      </x:c>
      <x:c r="I221" s="22" t="n">
        <x:v>1.3</x:v>
      </x:c>
      <x:c r="J221" s="22" t="n">
        <x:f>E221*1.5</x:f>
        <x:v>33000</x:v>
      </x:c>
      <x:c r="K221" s="22" t="n">
        <x:f>E221*2.5</x:f>
        <x:v>55000</x:v>
      </x:c>
      <x:c r="L221" s="22" t="n">
        <x:f>E221*3.5</x:f>
        <x:v>77000</x:v>
      </x:c>
      <x:c r="M221" s="22" t="n">
        <x:f>E221*4.5</x:f>
        <x:v>99000</x:v>
      </x:c>
      <x:c r="N221" s="22" t="n">
        <x:f>E221*5.5</x:f>
        <x:v>121000</x:v>
      </x:c>
      <x:c r="O221" s="22" t="n">
        <x:f>E221*7.5</x:f>
        <x:v>165000</x:v>
      </x:c>
      <x:c r="P221" s="22" t="n">
        <x:f>E221*9.5</x:f>
        <x:v>209000</x:v>
      </x:c>
      <x:c r="Q221" s="18" t="str">
        <x:v>Горы, перевалы и редкие центры</x:v>
      </x:c>
      <x:c r="R221" s="18" t="str">
        <x:v>Проектный профиль v1</x:v>
      </x:c>
      <x:c r="S221" s="18" t="str">
        <x:v>Экспертная классификация проекта</x:v>
      </x:c>
    </x:row>
    <x:row r="222">
      <x:c r="A222" s="18" t="str">
        <x:v>Межгорный Запад</x:v>
      </x:c>
      <x:c r="B222" s="18" t="str">
        <x:v>Запад Северной Америки</x:v>
      </x:c>
      <x:c r="C222" s="18" t="str">
        <x:v>Америка</x:v>
      </x:c>
      <x:c r="D222" s="18" t="str">
        <x:v>P7</x:v>
      </x:c>
      <x:c r="E222" s="22" t="n">
        <x:v>30000</x:v>
      </x:c>
      <x:c r="F222" s="22" t="n">
        <x:v>1</x:v>
      </x:c>
      <x:c r="G222" s="22" t="n">
        <x:v>12</x:v>
      </x:c>
      <x:c r="H222" s="22" t="n">
        <x:v>0.2</x:v>
      </x:c>
      <x:c r="I222" s="22" t="n">
        <x:v>1.15</x:v>
      </x:c>
      <x:c r="J222" s="22" t="n">
        <x:f>E222*1.5</x:f>
        <x:v>45000</x:v>
      </x:c>
      <x:c r="K222" s="22" t="n">
        <x:f>E222*2.5</x:f>
        <x:v>75000</x:v>
      </x:c>
      <x:c r="L222" s="22" t="n">
        <x:f>E222*3.5</x:f>
        <x:v>105000</x:v>
      </x:c>
      <x:c r="M222" s="22" t="n">
        <x:f>E222*4.5</x:f>
        <x:v>135000</x:v>
      </x:c>
      <x:c r="N222" s="22" t="n">
        <x:f>E222*5.5</x:f>
        <x:v>165000</x:v>
      </x:c>
      <x:c r="O222" s="22" t="n">
        <x:f>E222*7.5</x:f>
        <x:v>225000</x:v>
      </x:c>
      <x:c r="P222" s="22" t="n">
        <x:f>E222*9.5</x:f>
        <x:v>285000</x:v>
      </x:c>
      <x:c r="Q222" s="18" t="str">
        <x:v>Плато, пустыни и бассейны</x:v>
      </x:c>
      <x:c r="R222" s="18" t="str">
        <x:v>Проектный профиль v1</x:v>
      </x:c>
      <x:c r="S222" s="18" t="str">
        <x:v>Экспертная классификация проекта</x:v>
      </x:c>
    </x:row>
    <x:row r="223">
      <x:c r="A223" s="18" t="str">
        <x:v>Юго-Западные пустыни</x:v>
      </x:c>
      <x:c r="B223" s="18" t="str">
        <x:v>Запад Северной Америки</x:v>
      </x:c>
      <x:c r="C223" s="18" t="str">
        <x:v>Америка</x:v>
      </x:c>
      <x:c r="D223" s="18" t="str">
        <x:v>P7</x:v>
      </x:c>
      <x:c r="E223" s="22" t="n">
        <x:v>30000</x:v>
      </x:c>
      <x:c r="F223" s="22" t="n">
        <x:v>1</x:v>
      </x:c>
      <x:c r="G223" s="22" t="n">
        <x:v>12</x:v>
      </x:c>
      <x:c r="H223" s="22" t="n">
        <x:v>0.2</x:v>
      </x:c>
      <x:c r="I223" s="22" t="n">
        <x:v>1.05</x:v>
      </x:c>
      <x:c r="J223" s="22" t="n">
        <x:f>E223*1.5</x:f>
        <x:v>45000</x:v>
      </x:c>
      <x:c r="K223" s="22" t="n">
        <x:f>E223*2.5</x:f>
        <x:v>75000</x:v>
      </x:c>
      <x:c r="L223" s="22" t="n">
        <x:f>E223*3.5</x:f>
        <x:v>105000</x:v>
      </x:c>
      <x:c r="M223" s="22" t="n">
        <x:f>E223*4.5</x:f>
        <x:v>135000</x:v>
      </x:c>
      <x:c r="N223" s="22" t="n">
        <x:f>E223*5.5</x:f>
        <x:v>165000</x:v>
      </x:c>
      <x:c r="O223" s="22" t="n">
        <x:f>E223*7.5</x:f>
        <x:v>225000</x:v>
      </x:c>
      <x:c r="P223" s="22" t="n">
        <x:f>E223*9.5</x:f>
        <x:v>285000</x:v>
      </x:c>
      <x:c r="Q223" s="18" t="str">
        <x:v>Пустыня и оазисные города</x:v>
      </x:c>
      <x:c r="R223" s="18" t="str">
        <x:v>Проектный профиль v1</x:v>
      </x:c>
      <x:c r="S223" s="18" t="str">
        <x:v>Экспертная классификация проекта</x:v>
      </x:c>
    </x:row>
    <x:row r="224">
      <x:c r="A224" s="18" t="str">
        <x:v>Калифорнийское побережье</x:v>
      </x:c>
      <x:c r="B224" s="18" t="str">
        <x:v>Запад Северной Америки</x:v>
      </x:c>
      <x:c r="C224" s="18" t="str">
        <x:v>Америка</x:v>
      </x:c>
      <x:c r="D224" s="18" t="str">
        <x:v>P4</x:v>
      </x:c>
      <x:c r="E224" s="22" t="n">
        <x:v>4200</x:v>
      </x:c>
      <x:c r="F224" s="22" t="n">
        <x:v>1</x:v>
      </x:c>
      <x:c r="G224" s="22" t="n">
        <x:v>14</x:v>
      </x:c>
      <x:c r="H224" s="22" t="n">
        <x:v>1.2</x:v>
      </x:c>
      <x:c r="I224" s="22" t="n">
        <x:v>1.2</x:v>
      </x:c>
      <x:c r="J224" s="22" t="n">
        <x:f>E224*1.5</x:f>
        <x:v>6300</x:v>
      </x:c>
      <x:c r="K224" s="22" t="n">
        <x:f>E224*2.5</x:f>
        <x:v>10500</x:v>
      </x:c>
      <x:c r="L224" s="22" t="n">
        <x:f>E224*3.5</x:f>
        <x:v>14700</x:v>
      </x:c>
      <x:c r="M224" s="22" t="n">
        <x:f>E224*4.5</x:f>
        <x:v>18900</x:v>
      </x:c>
      <x:c r="N224" s="22" t="n">
        <x:f>E224*5.5</x:f>
        <x:v>23100</x:v>
      </x:c>
      <x:c r="O224" s="22" t="n">
        <x:f>E224*7.5</x:f>
        <x:v>31500</x:v>
      </x:c>
      <x:c r="P224" s="22" t="n">
        <x:f>E224*9.5</x:f>
        <x:v>39900</x:v>
      </x:c>
      <x:c r="Q224" s="18" t="str">
        <x:v>Плотные прибрежные центры и горы</x:v>
      </x:c>
      <x:c r="R224" s="18" t="str">
        <x:v>Проектный профиль v1</x:v>
      </x:c>
      <x:c r="S224" s="18" t="str">
        <x:v>Экспертная классификация проекта</x:v>
      </x:c>
    </x:row>
    <x:row r="225">
      <x:c r="A225" s="18" t="str">
        <x:v>Тихоокеанский Северо-Запад</x:v>
      </x:c>
      <x:c r="B225" s="18" t="str">
        <x:v>Запад Северной Америки</x:v>
      </x:c>
      <x:c r="C225" s="18" t="str">
        <x:v>Америка</x:v>
      </x:c>
      <x:c r="D225" s="18" t="str">
        <x:v>P5</x:v>
      </x:c>
      <x:c r="E225" s="22" t="n">
        <x:v>7000</x:v>
      </x:c>
      <x:c r="F225" s="22" t="n">
        <x:v>1</x:v>
      </x:c>
      <x:c r="G225" s="22" t="n">
        <x:v>14</x:v>
      </x:c>
      <x:c r="H225" s="22" t="n">
        <x:v>0.85</x:v>
      </x:c>
      <x:c r="I225" s="22" t="n">
        <x:v>1.25</x:v>
      </x:c>
      <x:c r="J225" s="22" t="n">
        <x:f>E225*1.5</x:f>
        <x:v>10500</x:v>
      </x:c>
      <x:c r="K225" s="22" t="n">
        <x:f>E225*2.5</x:f>
        <x:v>17500</x:v>
      </x:c>
      <x:c r="L225" s="22" t="n">
        <x:f>E225*3.5</x:f>
        <x:v>24500</x:v>
      </x:c>
      <x:c r="M225" s="22" t="n">
        <x:f>E225*4.5</x:f>
        <x:v>31500</x:v>
      </x:c>
      <x:c r="N225" s="22" t="n">
        <x:f>E225*5.5</x:f>
        <x:v>38500</x:v>
      </x:c>
      <x:c r="O225" s="22" t="n">
        <x:f>E225*7.5</x:f>
        <x:v>52500</x:v>
      </x:c>
      <x:c r="P225" s="22" t="n">
        <x:f>E225*9.5</x:f>
        <x:v>66500</x:v>
      </x:c>
      <x:c r="Q225" s="18" t="str">
        <x:v>Горы, леса и побережье</x:v>
      </x:c>
      <x:c r="R225" s="18" t="str">
        <x:v>Проектный профиль v1</x:v>
      </x:c>
      <x:c r="S225" s="18" t="str">
        <x:v>Экспертная классификация проекта</x:v>
      </x:c>
    </x:row>
    <x:row r="226">
      <x:c r="A226" s="18" t="str">
        <x:v>Канадский населённый коридор</x:v>
      </x:c>
      <x:c r="B226" s="18" t="str">
        <x:v>Канада</x:v>
      </x:c>
      <x:c r="C226" s="18" t="str">
        <x:v>Америка</x:v>
      </x:c>
      <x:c r="D226" s="18" t="str">
        <x:v>P5</x:v>
      </x:c>
      <x:c r="E226" s="22" t="n">
        <x:v>9000</x:v>
      </x:c>
      <x:c r="F226" s="22" t="n">
        <x:v>1</x:v>
      </x:c>
      <x:c r="G226" s="22" t="n">
        <x:v>16</x:v>
      </x:c>
      <x:c r="H226" s="22" t="n">
        <x:v>0.75</x:v>
      </x:c>
      <x:c r="I226" s="22" t="n">
        <x:v>1.05</x:v>
      </x:c>
      <x:c r="J226" s="22" t="n">
        <x:f>E226*1.5</x:f>
        <x:v>13500</x:v>
      </x:c>
      <x:c r="K226" s="22" t="n">
        <x:f>E226*2.5</x:f>
        <x:v>22500</x:v>
      </x:c>
      <x:c r="L226" s="22" t="n">
        <x:f>E226*3.5</x:f>
        <x:v>31500</x:v>
      </x:c>
      <x:c r="M226" s="22" t="n">
        <x:f>E226*4.5</x:f>
        <x:v>40500</x:v>
      </x:c>
      <x:c r="N226" s="22" t="n">
        <x:f>E226*5.5</x:f>
        <x:v>49500</x:v>
      </x:c>
      <x:c r="O226" s="22" t="n">
        <x:f>E226*7.5</x:f>
        <x:v>67500</x:v>
      </x:c>
      <x:c r="P226" s="22" t="n">
        <x:f>E226*9.5</x:f>
        <x:v>85500</x:v>
      </x:c>
      <x:c r="Q226" s="18" t="str">
        <x:v>Южная полоса Канады</x:v>
      </x:c>
      <x:c r="R226" s="18" t="str">
        <x:v>Проектный профиль v1</x:v>
      </x:c>
      <x:c r="S226" s="18" t="str">
        <x:v>Экспертная классификация проекта</x:v>
      </x:c>
    </x:row>
    <x:row r="227">
      <x:c r="A227" s="18" t="str">
        <x:v>Канадские прерии</x:v>
      </x:c>
      <x:c r="B227" s="18" t="str">
        <x:v>Канада</x:v>
      </x:c>
      <x:c r="C227" s="18" t="str">
        <x:v>Америка</x:v>
      </x:c>
      <x:c r="D227" s="18" t="str">
        <x:v>P6</x:v>
      </x:c>
      <x:c r="E227" s="22" t="n">
        <x:v>18000</x:v>
      </x:c>
      <x:c r="F227" s="22" t="n">
        <x:v>1</x:v>
      </x:c>
      <x:c r="G227" s="22" t="n">
        <x:v>14</x:v>
      </x:c>
      <x:c r="H227" s="22" t="n">
        <x:v>0.4</x:v>
      </x:c>
      <x:c r="I227" s="22" t="n">
        <x:v>0.95</x:v>
      </x:c>
      <x:c r="J227" s="22" t="n">
        <x:f>E227*1.5</x:f>
        <x:v>27000</x:v>
      </x:c>
      <x:c r="K227" s="22" t="n">
        <x:f>E227*2.5</x:f>
        <x:v>45000</x:v>
      </x:c>
      <x:c r="L227" s="22" t="n">
        <x:f>E227*3.5</x:f>
        <x:v>63000</x:v>
      </x:c>
      <x:c r="M227" s="22" t="n">
        <x:f>E227*4.5</x:f>
        <x:v>81000</x:v>
      </x:c>
      <x:c r="N227" s="22" t="n">
        <x:f>E227*5.5</x:f>
        <x:v>99000</x:v>
      </x:c>
      <x:c r="O227" s="22" t="n">
        <x:f>E227*7.5</x:f>
        <x:v>135000</x:v>
      </x:c>
      <x:c r="P227" s="22" t="n">
        <x:f>E227*9.5</x:f>
        <x:v>171000</x:v>
      </x:c>
      <x:c r="Q227" s="18" t="str">
        <x:v>Большие сельскохозяйственные пространства</x:v>
      </x:c>
      <x:c r="R227" s="18" t="str">
        <x:v>Проектный профиль v1</x:v>
      </x:c>
      <x:c r="S227" s="18" t="str">
        <x:v>Экспертная классификация проекта</x:v>
      </x:c>
    </x:row>
    <x:row r="228">
      <x:c r="A228" s="18" t="str">
        <x:v>Британская Колумбия</x:v>
      </x:c>
      <x:c r="B228" s="18" t="str">
        <x:v>Канада</x:v>
      </x:c>
      <x:c r="C228" s="18" t="str">
        <x:v>Америка</x:v>
      </x:c>
      <x:c r="D228" s="18" t="str">
        <x:v>P6</x:v>
      </x:c>
      <x:c r="E228" s="22" t="n">
        <x:v>18000</x:v>
      </x:c>
      <x:c r="F228" s="22" t="n">
        <x:v>1</x:v>
      </x:c>
      <x:c r="G228" s="22" t="n">
        <x:v>14</x:v>
      </x:c>
      <x:c r="H228" s="22" t="n">
        <x:v>0.45</x:v>
      </x:c>
      <x:c r="I228" s="22" t="n">
        <x:v>1.35</x:v>
      </x:c>
      <x:c r="J228" s="22" t="n">
        <x:f>E228*1.5</x:f>
        <x:v>27000</x:v>
      </x:c>
      <x:c r="K228" s="22" t="n">
        <x:f>E228*2.5</x:f>
        <x:v>45000</x:v>
      </x:c>
      <x:c r="L228" s="22" t="n">
        <x:f>E228*3.5</x:f>
        <x:v>63000</x:v>
      </x:c>
      <x:c r="M228" s="22" t="n">
        <x:f>E228*4.5</x:f>
        <x:v>81000</x:v>
      </x:c>
      <x:c r="N228" s="22" t="n">
        <x:f>E228*5.5</x:f>
        <x:v>99000</x:v>
      </x:c>
      <x:c r="O228" s="22" t="n">
        <x:f>E228*7.5</x:f>
        <x:v>135000</x:v>
      </x:c>
      <x:c r="P228" s="22" t="n">
        <x:f>E228*9.5</x:f>
        <x:v>171000</x:v>
      </x:c>
      <x:c r="Q228" s="18" t="str">
        <x:v>Горы, фьорды и долины</x:v>
      </x:c>
      <x:c r="R228" s="18" t="str">
        <x:v>Проектный профиль v1</x:v>
      </x:c>
      <x:c r="S228" s="18" t="str">
        <x:v>Экспертная классификация проекта</x:v>
      </x:c>
    </x:row>
    <x:row r="229">
      <x:c r="A229" s="18" t="str">
        <x:v>Канадский щит</x:v>
      </x:c>
      <x:c r="B229" s="18" t="str">
        <x:v>Канада</x:v>
      </x:c>
      <x:c r="C229" s="18" t="str">
        <x:v>Америка</x:v>
      </x:c>
      <x:c r="D229" s="18" t="str">
        <x:v>P7</x:v>
      </x:c>
      <x:c r="E229" s="22" t="n">
        <x:v>50000</x:v>
      </x:c>
      <x:c r="F229" s="22" t="n">
        <x:v>1</x:v>
      </x:c>
      <x:c r="G229" s="22" t="n">
        <x:v>12</x:v>
      </x:c>
      <x:c r="H229" s="22" t="n">
        <x:v>0.15</x:v>
      </x:c>
      <x:c r="I229" s="22" t="n">
        <x:v>1.05</x:v>
      </x:c>
      <x:c r="J229" s="22" t="n">
        <x:f>E229*1.5</x:f>
        <x:v>75000</x:v>
      </x:c>
      <x:c r="K229" s="22" t="n">
        <x:f>E229*2.5</x:f>
        <x:v>125000</x:v>
      </x:c>
      <x:c r="L229" s="22" t="n">
        <x:f>E229*3.5</x:f>
        <x:v>175000</x:v>
      </x:c>
      <x:c r="M229" s="22" t="n">
        <x:f>E229*4.5</x:f>
        <x:v>225000</x:v>
      </x:c>
      <x:c r="N229" s="22" t="n">
        <x:f>E229*5.5</x:f>
        <x:v>275000</x:v>
      </x:c>
      <x:c r="O229" s="22" t="n">
        <x:f>E229*7.5</x:f>
        <x:v>375000</x:v>
      </x:c>
      <x:c r="P229" s="22" t="n">
        <x:f>E229*9.5</x:f>
        <x:v>475000</x:v>
      </x:c>
      <x:c r="Q229" s="18" t="str">
        <x:v>Озёра, леса и редкое население</x:v>
      </x:c>
      <x:c r="R229" s="18" t="str">
        <x:v>Проектный профиль v1</x:v>
      </x:c>
      <x:c r="S229" s="18" t="str">
        <x:v>Экспертная классификация проекта</x:v>
      </x:c>
    </x:row>
    <x:row r="230">
      <x:c r="A230" s="18" t="str">
        <x:v>Лабрадор и север Квебека</x:v>
      </x:c>
      <x:c r="B230" s="18" t="str">
        <x:v>Канада</x:v>
      </x:c>
      <x:c r="C230" s="18" t="str">
        <x:v>Америка</x:v>
      </x:c>
      <x:c r="D230" s="18" t="str">
        <x:v>P8</x:v>
      </x:c>
      <x:c r="E230" s="22" t="n">
        <x:v>90000</x:v>
      </x:c>
      <x:c r="F230" s="22" t="n">
        <x:v>1</x:v>
      </x:c>
      <x:c r="G230" s="22" t="n">
        <x:v>10</x:v>
      </x:c>
      <x:c r="H230" s="22" t="n">
        <x:v>0.07</x:v>
      </x:c>
      <x:c r="I230" s="22" t="n">
        <x:v>1.1</x:v>
      </x:c>
      <x:c r="J230" s="22" t="n">
        <x:f>E230*1.5</x:f>
        <x:v>135000</x:v>
      </x:c>
      <x:c r="K230" s="22" t="n">
        <x:f>E230*2.5</x:f>
        <x:v>225000</x:v>
      </x:c>
      <x:c r="L230" s="22" t="n">
        <x:f>E230*3.5</x:f>
        <x:v>315000</x:v>
      </x:c>
      <x:c r="M230" s="22" t="n">
        <x:f>E230*4.5</x:f>
        <x:v>405000</x:v>
      </x:c>
      <x:c r="N230" s="22" t="n">
        <x:f>E230*5.5</x:f>
        <x:v>495000</x:v>
      </x:c>
      <x:c r="O230" s="22" t="n">
        <x:f>E230*7.5</x:f>
        <x:v>675000</x:v>
      </x:c>
      <x:c r="P230" s="22" t="n">
        <x:f>E230*9.5</x:f>
        <x:v>855000</x:v>
      </x:c>
      <x:c r="Q230" s="18" t="str">
        <x:v>Тундра, леса и побережье</x:v>
      </x:c>
      <x:c r="R230" s="18" t="str">
        <x:v>Проектный профиль v1</x:v>
      </x:c>
      <x:c r="S230" s="18" t="str">
        <x:v>Экспертная классификация проекта</x:v>
      </x:c>
    </x:row>
    <x:row r="231">
      <x:c r="A231" s="18" t="str">
        <x:v>Арктическая Канада</x:v>
      </x:c>
      <x:c r="B231" s="18" t="str">
        <x:v>Канада</x:v>
      </x:c>
      <x:c r="C231" s="18" t="str">
        <x:v>Америка</x:v>
      </x:c>
      <x:c r="D231" s="18" t="str">
        <x:v>P8</x:v>
      </x:c>
      <x:c r="E231" s="22" t="n">
        <x:v>180000</x:v>
      </x:c>
      <x:c r="F231" s="22" t="n">
        <x:v>1</x:v>
      </x:c>
      <x:c r="G231" s="22" t="n">
        <x:v>10</x:v>
      </x:c>
      <x:c r="H231" s="22" t="n">
        <x:v>0.03</x:v>
      </x:c>
      <x:c r="I231" s="22" t="n">
        <x:v>1</x:v>
      </x:c>
      <x:c r="J231" s="22" t="n">
        <x:f>E231*1.5</x:f>
        <x:v>270000</x:v>
      </x:c>
      <x:c r="K231" s="22" t="n">
        <x:f>E231*2.5</x:f>
        <x:v>450000</x:v>
      </x:c>
      <x:c r="L231" s="22" t="n">
        <x:f>E231*3.5</x:f>
        <x:v>630000</x:v>
      </x:c>
      <x:c r="M231" s="22" t="n">
        <x:f>E231*4.5</x:f>
        <x:v>810000</x:v>
      </x:c>
      <x:c r="N231" s="22" t="n">
        <x:f>E231*5.5</x:f>
        <x:v>990000</x:v>
      </x:c>
      <x:c r="O231" s="22" t="n">
        <x:f>E231*7.5</x:f>
        <x:v>1350000</x:v>
      </x:c>
      <x:c r="P231" s="22" t="n">
        <x:f>E231*9.5</x:f>
        <x:v>1710000</x:v>
      </x:c>
      <x:c r="Q231" s="18" t="str">
        <x:v>Крайне редкие территории</x:v>
      </x:c>
      <x:c r="R231" s="18" t="str">
        <x:v>Проектный профиль v1</x:v>
      </x:c>
      <x:c r="S231" s="18" t="str">
        <x:v>Экспертная классификация проекта</x:v>
      </x:c>
    </x:row>
    <x:row r="232">
      <x:c r="A232" s="18" t="str">
        <x:v>Аляска</x:v>
      </x:c>
      <x:c r="B232" s="18" t="str">
        <x:v>Канада</x:v>
      </x:c>
      <x:c r="C232" s="18" t="str">
        <x:v>Америка</x:v>
      </x:c>
      <x:c r="D232" s="18" t="str">
        <x:v>P8</x:v>
      </x:c>
      <x:c r="E232" s="22" t="n">
        <x:v>110000</x:v>
      </x:c>
      <x:c r="F232" s="22" t="n">
        <x:v>1</x:v>
      </x:c>
      <x:c r="G232" s="22" t="n">
        <x:v>12</x:v>
      </x:c>
      <x:c r="H232" s="22" t="n">
        <x:v>0.08</x:v>
      </x:c>
      <x:c r="I232" s="22" t="n">
        <x:v>1.2</x:v>
      </x:c>
      <x:c r="J232" s="22" t="n">
        <x:f>E232*1.5</x:f>
        <x:v>165000</x:v>
      </x:c>
      <x:c r="K232" s="22" t="n">
        <x:f>E232*2.5</x:f>
        <x:v>275000</x:v>
      </x:c>
      <x:c r="L232" s="22" t="n">
        <x:f>E232*3.5</x:f>
        <x:v>385000</x:v>
      </x:c>
      <x:c r="M232" s="22" t="n">
        <x:f>E232*4.5</x:f>
        <x:v>495000</x:v>
      </x:c>
      <x:c r="N232" s="22" t="n">
        <x:f>E232*5.5</x:f>
        <x:v>605000</x:v>
      </x:c>
      <x:c r="O232" s="22" t="n">
        <x:f>E232*7.5</x:f>
        <x:v>825000</x:v>
      </x:c>
      <x:c r="P232" s="22" t="n">
        <x:f>E232*9.5</x:f>
        <x:v>1045000</x:v>
      </x:c>
      <x:c r="Q232" s="18" t="str">
        <x:v>Горы, тундра и побережье</x:v>
      </x:c>
      <x:c r="R232" s="18" t="str">
        <x:v>Проектный профиль v1</x:v>
      </x:c>
      <x:c r="S232" s="18" t="str">
        <x:v>Экспертная классификация проекта</x:v>
      </x:c>
    </x:row>
    <x:row r="233">
      <x:c r="A233" s="18" t="str">
        <x:v>Центральная Мексика</x:v>
      </x:c>
      <x:c r="B233" s="18" t="str">
        <x:v>Мексика</x:v>
      </x:c>
      <x:c r="C233" s="18" t="str">
        <x:v>Америка</x:v>
      </x:c>
      <x:c r="D233" s="18" t="str">
        <x:v>P4</x:v>
      </x:c>
      <x:c r="E233" s="22" t="n">
        <x:v>3500</x:v>
      </x:c>
      <x:c r="F233" s="22" t="n">
        <x:v>1</x:v>
      </x:c>
      <x:c r="G233" s="22" t="n">
        <x:v>16</x:v>
      </x:c>
      <x:c r="H233" s="22" t="n">
        <x:v>1.2</x:v>
      </x:c>
      <x:c r="I233" s="22" t="n">
        <x:v>1.15</x:v>
      </x:c>
      <x:c r="J233" s="22" t="n">
        <x:f>E233*1.5</x:f>
        <x:v>5250</x:v>
      </x:c>
      <x:c r="K233" s="22" t="n">
        <x:f>E233*2.5</x:f>
        <x:v>8750</x:v>
      </x:c>
      <x:c r="L233" s="22" t="n">
        <x:f>E233*3.5</x:f>
        <x:v>12250</x:v>
      </x:c>
      <x:c r="M233" s="22" t="n">
        <x:f>E233*4.5</x:f>
        <x:v>15750</x:v>
      </x:c>
      <x:c r="N233" s="22" t="n">
        <x:f>E233*5.5</x:f>
        <x:v>19250</x:v>
      </x:c>
      <x:c r="O233" s="22" t="n">
        <x:f>E233*7.5</x:f>
        <x:v>26250</x:v>
      </x:c>
      <x:c r="P233" s="22" t="n">
        <x:f>E233*9.5</x:f>
        <x:v>33250</x:v>
      </x:c>
      <x:c r="Q233" s="18" t="str">
        <x:v>Плотные нагорья и исторические города</x:v>
      </x:c>
      <x:c r="R233" s="18" t="str">
        <x:v>Проектный профиль v1</x:v>
      </x:c>
      <x:c r="S233" s="18" t="str">
        <x:v>Экспертная классификация проекта</x:v>
      </x:c>
    </x:row>
    <x:row r="234">
      <x:c r="A234" s="18" t="str">
        <x:v>Мексиканское побережье Мексиканского залива</x:v>
      </x:c>
      <x:c r="B234" s="18" t="str">
        <x:v>Мексика</x:v>
      </x:c>
      <x:c r="C234" s="18" t="str">
        <x:v>Америка</x:v>
      </x:c>
      <x:c r="D234" s="18" t="str">
        <x:v>P4</x:v>
      </x:c>
      <x:c r="E234" s="22" t="n">
        <x:v>5000</x:v>
      </x:c>
      <x:c r="F234" s="22" t="n">
        <x:v>1</x:v>
      </x:c>
      <x:c r="G234" s="22" t="n">
        <x:v>14</x:v>
      </x:c>
      <x:c r="H234" s="22" t="n">
        <x:v>1</x:v>
      </x:c>
      <x:c r="I234" s="22" t="n">
        <x:v>1.15</x:v>
      </x:c>
      <x:c r="J234" s="22" t="n">
        <x:f>E234*1.5</x:f>
        <x:v>7500</x:v>
      </x:c>
      <x:c r="K234" s="22" t="n">
        <x:f>E234*2.5</x:f>
        <x:v>12500</x:v>
      </x:c>
      <x:c r="L234" s="22" t="n">
        <x:f>E234*3.5</x:f>
        <x:v>17500</x:v>
      </x:c>
      <x:c r="M234" s="22" t="n">
        <x:f>E234*4.5</x:f>
        <x:v>22500</x:v>
      </x:c>
      <x:c r="N234" s="22" t="n">
        <x:f>E234*5.5</x:f>
        <x:v>27500</x:v>
      </x:c>
      <x:c r="O234" s="22" t="n">
        <x:f>E234*7.5</x:f>
        <x:v>37500</x:v>
      </x:c>
      <x:c r="P234" s="22" t="n">
        <x:f>E234*9.5</x:f>
        <x:v>47500</x:v>
      </x:c>
      <x:c r="Q234" s="18" t="str">
        <x:v>Побережье и речные равнины</x:v>
      </x:c>
      <x:c r="R234" s="18" t="str">
        <x:v>Проектный профиль v1</x:v>
      </x:c>
      <x:c r="S234" s="18" t="str">
        <x:v>Экспертная классификация проекта</x:v>
      </x:c>
    </x:row>
    <x:row r="235">
      <x:c r="A235" s="18" t="str">
        <x:v>Тихоокеанское побережье Мексики</x:v>
      </x:c>
      <x:c r="B235" s="18" t="str">
        <x:v>Мексика</x:v>
      </x:c>
      <x:c r="C235" s="18" t="str">
        <x:v>Америка</x:v>
      </x:c>
      <x:c r="D235" s="18" t="str">
        <x:v>P5</x:v>
      </x:c>
      <x:c r="E235" s="22" t="n">
        <x:v>6500</x:v>
      </x:c>
      <x:c r="F235" s="22" t="n">
        <x:v>1</x:v>
      </x:c>
      <x:c r="G235" s="22" t="n">
        <x:v>14</x:v>
      </x:c>
      <x:c r="H235" s="22" t="n">
        <x:v>0.85</x:v>
      </x:c>
      <x:c r="I235" s="22" t="n">
        <x:v>1.25</x:v>
      </x:c>
      <x:c r="J235" s="22" t="n">
        <x:f>E235*1.5</x:f>
        <x:v>9750</x:v>
      </x:c>
      <x:c r="K235" s="22" t="n">
        <x:f>E235*2.5</x:f>
        <x:v>16250</x:v>
      </x:c>
      <x:c r="L235" s="22" t="n">
        <x:f>E235*3.5</x:f>
        <x:v>22750</x:v>
      </x:c>
      <x:c r="M235" s="22" t="n">
        <x:f>E235*4.5</x:f>
        <x:v>29250</x:v>
      </x:c>
      <x:c r="N235" s="22" t="n">
        <x:f>E235*5.5</x:f>
        <x:v>35750</x:v>
      </x:c>
      <x:c r="O235" s="22" t="n">
        <x:f>E235*7.5</x:f>
        <x:v>48750</x:v>
      </x:c>
      <x:c r="P235" s="22" t="n">
        <x:f>E235*9.5</x:f>
        <x:v>61750</x:v>
      </x:c>
      <x:c r="Q235" s="18" t="str">
        <x:v>Узкое побережье и горы</x:v>
      </x:c>
      <x:c r="R235" s="18" t="str">
        <x:v>Проектный профиль v1</x:v>
      </x:c>
      <x:c r="S235" s="18" t="str">
        <x:v>Экспертная классификация проекта</x:v>
      </x:c>
    </x:row>
    <x:row r="236">
      <x:c r="A236" s="18" t="str">
        <x:v>Северная Мексика</x:v>
      </x:c>
      <x:c r="B236" s="18" t="str">
        <x:v>Мексика</x:v>
      </x:c>
      <x:c r="C236" s="18" t="str">
        <x:v>Америка</x:v>
      </x:c>
      <x:c r="D236" s="18" t="str">
        <x:v>P6</x:v>
      </x:c>
      <x:c r="E236" s="22" t="n">
        <x:v>14000</x:v>
      </x:c>
      <x:c r="F236" s="22" t="n">
        <x:v>1</x:v>
      </x:c>
      <x:c r="G236" s="22" t="n">
        <x:v>14</x:v>
      </x:c>
      <x:c r="H236" s="22" t="n">
        <x:v>0.45</x:v>
      </x:c>
      <x:c r="I236" s="22" t="n">
        <x:v>1.05</x:v>
      </x:c>
      <x:c r="J236" s="22" t="n">
        <x:f>E236*1.5</x:f>
        <x:v>21000</x:v>
      </x:c>
      <x:c r="K236" s="22" t="n">
        <x:f>E236*2.5</x:f>
        <x:v>35000</x:v>
      </x:c>
      <x:c r="L236" s="22" t="n">
        <x:f>E236*3.5</x:f>
        <x:v>49000</x:v>
      </x:c>
      <x:c r="M236" s="22" t="n">
        <x:f>E236*4.5</x:f>
        <x:v>63000</x:v>
      </x:c>
      <x:c r="N236" s="22" t="n">
        <x:f>E236*5.5</x:f>
        <x:v>77000</x:v>
      </x:c>
      <x:c r="O236" s="22" t="n">
        <x:f>E236*7.5</x:f>
        <x:v>105000</x:v>
      </x:c>
      <x:c r="P236" s="22" t="n">
        <x:f>E236*9.5</x:f>
        <x:v>133000</x:v>
      </x:c>
      <x:c r="Q236" s="18" t="str">
        <x:v>Пустыни и большие пространства</x:v>
      </x:c>
      <x:c r="R236" s="18" t="str">
        <x:v>Проектный профиль v1</x:v>
      </x:c>
      <x:c r="S236" s="18" t="str">
        <x:v>Экспертная классификация проекта</x:v>
      </x:c>
    </x:row>
    <x:row r="237">
      <x:c r="A237" s="18" t="str">
        <x:v>Юкатан</x:v>
      </x:c>
      <x:c r="B237" s="18" t="str">
        <x:v>Мексика</x:v>
      </x:c>
      <x:c r="C237" s="18" t="str">
        <x:v>Америка</x:v>
      </x:c>
      <x:c r="D237" s="18" t="str">
        <x:v>P5</x:v>
      </x:c>
      <x:c r="E237" s="22" t="n">
        <x:v>7000</x:v>
      </x:c>
      <x:c r="F237" s="22" t="n">
        <x:v>1</x:v>
      </x:c>
      <x:c r="G237" s="22" t="n">
        <x:v>14</x:v>
      </x:c>
      <x:c r="H237" s="22" t="n">
        <x:v>0.7</x:v>
      </x:c>
      <x:c r="I237" s="22" t="n">
        <x:v>1.05</x:v>
      </x:c>
      <x:c r="J237" s="22" t="n">
        <x:f>E237*1.5</x:f>
        <x:v>10500</x:v>
      </x:c>
      <x:c r="K237" s="22" t="n">
        <x:f>E237*2.5</x:f>
        <x:v>17500</x:v>
      </x:c>
      <x:c r="L237" s="22" t="n">
        <x:f>E237*3.5</x:f>
        <x:v>24500</x:v>
      </x:c>
      <x:c r="M237" s="22" t="n">
        <x:f>E237*4.5</x:f>
        <x:v>31500</x:v>
      </x:c>
      <x:c r="N237" s="22" t="n">
        <x:f>E237*5.5</x:f>
        <x:v>38500</x:v>
      </x:c>
      <x:c r="O237" s="22" t="n">
        <x:f>E237*7.5</x:f>
        <x:v>52500</x:v>
      </x:c>
      <x:c r="P237" s="22" t="n">
        <x:f>E237*9.5</x:f>
        <x:v>66500</x:v>
      </x:c>
      <x:c r="Q237" s="18" t="str">
        <x:v>Плоский полуостров и исторические центры</x:v>
      </x:c>
      <x:c r="R237" s="18" t="str">
        <x:v>Проектный профиль v1</x:v>
      </x:c>
      <x:c r="S237" s="18" t="str">
        <x:v>Экспертная классификация проекта</x:v>
      </x:c>
    </x:row>
    <x:row r="238">
      <x:c r="A238" s="18" t="str">
        <x:v>Гватемальское нагорье</x:v>
      </x:c>
      <x:c r="B238" s="18" t="str">
        <x:v>Центральная Америка</x:v>
      </x:c>
      <x:c r="C238" s="18" t="str">
        <x:v>Америка</x:v>
      </x:c>
      <x:c r="D238" s="18" t="str">
        <x:v>P4</x:v>
      </x:c>
      <x:c r="E238" s="22" t="n">
        <x:v>3500</x:v>
      </x:c>
      <x:c r="F238" s="22" t="n">
        <x:v>1</x:v>
      </x:c>
      <x:c r="G238" s="22" t="n">
        <x:v>14</x:v>
      </x:c>
      <x:c r="H238" s="22" t="n">
        <x:v>1.1</x:v>
      </x:c>
      <x:c r="I238" s="22" t="n">
        <x:v>1.3</x:v>
      </x:c>
      <x:c r="J238" s="22" t="n">
        <x:f>E238*1.5</x:f>
        <x:v>5250</x:v>
      </x:c>
      <x:c r="K238" s="22" t="n">
        <x:f>E238*2.5</x:f>
        <x:v>8750</x:v>
      </x:c>
      <x:c r="L238" s="22" t="n">
        <x:f>E238*3.5</x:f>
        <x:v>12250</x:v>
      </x:c>
      <x:c r="M238" s="22" t="n">
        <x:f>E238*4.5</x:f>
        <x:v>15750</x:v>
      </x:c>
      <x:c r="N238" s="22" t="n">
        <x:f>E238*5.5</x:f>
        <x:v>19250</x:v>
      </x:c>
      <x:c r="O238" s="22" t="n">
        <x:f>E238*7.5</x:f>
        <x:v>26250</x:v>
      </x:c>
      <x:c r="P238" s="22" t="n">
        <x:f>E238*9.5</x:f>
        <x:v>33250</x:v>
      </x:c>
      <x:c r="Q238" s="18" t="str">
        <x:v>Плотные горные долины</x:v>
      </x:c>
      <x:c r="R238" s="18" t="str">
        <x:v>Проектный профиль v1</x:v>
      </x:c>
      <x:c r="S238" s="18" t="str">
        <x:v>Экспертная классификация проекта</x:v>
      </x:c>
    </x:row>
    <x:row r="239">
      <x:c r="A239" s="18" t="str">
        <x:v>Центральноамериканский перешеек</x:v>
      </x:c>
      <x:c r="B239" s="18" t="str">
        <x:v>Центральная Америка</x:v>
      </x:c>
      <x:c r="C239" s="18" t="str">
        <x:v>Америка</x:v>
      </x:c>
      <x:c r="D239" s="18" t="str">
        <x:v>P4</x:v>
      </x:c>
      <x:c r="E239" s="22" t="n">
        <x:v>3200</x:v>
      </x:c>
      <x:c r="F239" s="22" t="n">
        <x:v>1</x:v>
      </x:c>
      <x:c r="G239" s="22" t="n">
        <x:v>14</x:v>
      </x:c>
      <x:c r="H239" s="22" t="n">
        <x:v>1</x:v>
      </x:c>
      <x:c r="I239" s="22" t="n">
        <x:v>1.3</x:v>
      </x:c>
      <x:c r="J239" s="22" t="n">
        <x:f>E239*1.5</x:f>
        <x:v>4800</x:v>
      </x:c>
      <x:c r="K239" s="22" t="n">
        <x:f>E239*2.5</x:f>
        <x:v>8000</x:v>
      </x:c>
      <x:c r="L239" s="22" t="n">
        <x:f>E239*3.5</x:f>
        <x:v>11200</x:v>
      </x:c>
      <x:c r="M239" s="22" t="n">
        <x:f>E239*4.5</x:f>
        <x:v>14400</x:v>
      </x:c>
      <x:c r="N239" s="22" t="n">
        <x:f>E239*5.5</x:f>
        <x:v>17600</x:v>
      </x:c>
      <x:c r="O239" s="22" t="n">
        <x:f>E239*7.5</x:f>
        <x:v>24000</x:v>
      </x:c>
      <x:c r="P239" s="22" t="n">
        <x:f>E239*9.5</x:f>
        <x:v>30400</x:v>
      </x:c>
      <x:c r="Q239" s="18" t="str">
        <x:v>Узкие перешейки, горы и побережья</x:v>
      </x:c>
      <x:c r="R239" s="18" t="str">
        <x:v>Проектный профиль v1</x:v>
      </x:c>
      <x:c r="S239" s="18" t="str">
        <x:v>Экспертная классификация проекта</x:v>
      </x:c>
    </x:row>
    <x:row r="240">
      <x:c r="A240" s="18" t="str">
        <x:v>Большие Антильские острова</x:v>
      </x:c>
      <x:c r="B240" s="18" t="str">
        <x:v>Карибы</x:v>
      </x:c>
      <x:c r="C240" s="18" t="str">
        <x:v>Америка</x:v>
      </x:c>
      <x:c r="D240" s="18" t="str">
        <x:v>P2</x:v>
      </x:c>
      <x:c r="E240" s="22" t="n">
        <x:v>1400</x:v>
      </x:c>
      <x:c r="F240" s="22" t="n">
        <x:v>1</x:v>
      </x:c>
      <x:c r="G240" s="22" t="n">
        <x:v>12</x:v>
      </x:c>
      <x:c r="H240" s="22" t="n">
        <x:v>1.35</x:v>
      </x:c>
      <x:c r="I240" s="22" t="n">
        <x:v>1.35</x:v>
      </x:c>
      <x:c r="J240" s="22" t="n">
        <x:f>E240*1.5</x:f>
        <x:v>2100</x:v>
      </x:c>
      <x:c r="K240" s="22" t="n">
        <x:f>E240*2.5</x:f>
        <x:v>3500</x:v>
      </x:c>
      <x:c r="L240" s="22" t="n">
        <x:f>E240*3.5</x:f>
        <x:v>4900</x:v>
      </x:c>
      <x:c r="M240" s="22" t="n">
        <x:f>E240*4.5</x:f>
        <x:v>6300</x:v>
      </x:c>
      <x:c r="N240" s="22" t="n">
        <x:f>E240*5.5</x:f>
        <x:v>7700</x:v>
      </x:c>
      <x:c r="O240" s="22" t="n">
        <x:f>E240*7.5</x:f>
        <x:v>10500</x:v>
      </x:c>
      <x:c r="P240" s="22" t="n">
        <x:f>E240*9.5</x:f>
        <x:v>13300</x:v>
      </x:c>
      <x:c r="Q240" s="18" t="str">
        <x:v>Крупные острова, горы и порты</x:v>
      </x:c>
      <x:c r="R240" s="18" t="str">
        <x:v>Проектный профиль v1</x:v>
      </x:c>
      <x:c r="S240" s="18" t="str">
        <x:v>Экспертная классификация проекта</x:v>
      </x:c>
    </x:row>
    <x:row r="241">
      <x:c r="A241" s="18" t="str">
        <x:v>Малые Антильские острова</x:v>
      </x:c>
      <x:c r="B241" s="18" t="str">
        <x:v>Карибы</x:v>
      </x:c>
      <x:c r="C241" s="18" t="str">
        <x:v>Америка</x:v>
      </x:c>
      <x:c r="D241" s="18" t="str">
        <x:v>P1</x:v>
      </x:c>
      <x:c r="E241" s="22" t="n">
        <x:v>700</x:v>
      </x:c>
      <x:c r="F241" s="22" t="n">
        <x:v>1</x:v>
      </x:c>
      <x:c r="G241" s="22" t="n">
        <x:v>6</x:v>
      </x:c>
      <x:c r="H241" s="22" t="n">
        <x:v>1.2</x:v>
      </x:c>
      <x:c r="I241" s="22" t="n">
        <x:v>1.5</x:v>
      </x:c>
      <x:c r="J241" s="22" t="n">
        <x:f>E241*1.5</x:f>
        <x:v>1050</x:v>
      </x:c>
      <x:c r="K241" s="22" t="n">
        <x:f>E241*2.5</x:f>
        <x:v>1750</x:v>
      </x:c>
      <x:c r="L241" s="22" t="n">
        <x:f>E241*3.5</x:f>
        <x:v>2450</x:v>
      </x:c>
      <x:c r="M241" s="22" t="n">
        <x:f>E241*4.5</x:f>
        <x:v>3150</x:v>
      </x:c>
      <x:c r="N241" s="22" t="n">
        <x:f>E241*5.5</x:f>
        <x:v>3850</x:v>
      </x:c>
      <x:c r="O241" s="22" t="n">
        <x:f>E241*7.5</x:f>
        <x:v>5250</x:v>
      </x:c>
      <x:c r="P241" s="22" t="n">
        <x:f>E241*9.5</x:f>
        <x:v>6650</x:v>
      </x:c>
      <x:c r="Q241" s="18" t="str">
        <x:v>Малые острова обычно не режутся</x:v>
      </x:c>
      <x:c r="R241" s="18" t="str">
        <x:v>Проектный профиль v1</x:v>
      </x:c>
      <x:c r="S241" s="18" t="str">
        <x:v>Экспертная классификация проекта</x:v>
      </x:c>
    </x:row>
    <x:row r="242">
      <x:c r="A242" s="18" t="str">
        <x:v>Карибское побережье Новой Гранады</x:v>
      </x:c>
      <x:c r="B242" s="18" t="str">
        <x:v>Северные Анды</x:v>
      </x:c>
      <x:c r="C242" s="18" t="str">
        <x:v>Америка</x:v>
      </x:c>
      <x:c r="D242" s="18" t="str">
        <x:v>P4</x:v>
      </x:c>
      <x:c r="E242" s="22" t="n">
        <x:v>4500</x:v>
      </x:c>
      <x:c r="F242" s="22" t="n">
        <x:v>1</x:v>
      </x:c>
      <x:c r="G242" s="22" t="n">
        <x:v>14</x:v>
      </x:c>
      <x:c r="H242" s="22" t="n">
        <x:v>1.05</x:v>
      </x:c>
      <x:c r="I242" s="22" t="n">
        <x:v>1.2</x:v>
      </x:c>
      <x:c r="J242" s="22" t="n">
        <x:f>E242*1.5</x:f>
        <x:v>6750</x:v>
      </x:c>
      <x:c r="K242" s="22" t="n">
        <x:f>E242*2.5</x:f>
        <x:v>11250</x:v>
      </x:c>
      <x:c r="L242" s="22" t="n">
        <x:f>E242*3.5</x:f>
        <x:v>15750</x:v>
      </x:c>
      <x:c r="M242" s="22" t="n">
        <x:f>E242*4.5</x:f>
        <x:v>20250</x:v>
      </x:c>
      <x:c r="N242" s="22" t="n">
        <x:f>E242*5.5</x:f>
        <x:v>24750</x:v>
      </x:c>
      <x:c r="O242" s="22" t="n">
        <x:f>E242*7.5</x:f>
        <x:v>33750</x:v>
      </x:c>
      <x:c r="P242" s="22" t="n">
        <x:f>E242*9.5</x:f>
        <x:v>42750</x:v>
      </x:c>
      <x:c r="Q242" s="18" t="str">
        <x:v>Порты, долины и горные окраины</x:v>
      </x:c>
      <x:c r="R242" s="18" t="str">
        <x:v>Проектный профиль v1</x:v>
      </x:c>
      <x:c r="S242" s="18" t="str">
        <x:v>Экспертная классификация проекта</x:v>
      </x:c>
    </x:row>
    <x:row r="243">
      <x:c r="A243" s="18" t="str">
        <x:v>Колумбийские Анды</x:v>
      </x:c>
      <x:c r="B243" s="18" t="str">
        <x:v>Северные Анды</x:v>
      </x:c>
      <x:c r="C243" s="18" t="str">
        <x:v>Америка</x:v>
      </x:c>
      <x:c r="D243" s="18" t="str">
        <x:v>P4</x:v>
      </x:c>
      <x:c r="E243" s="22" t="n">
        <x:v>4000</x:v>
      </x:c>
      <x:c r="F243" s="22" t="n">
        <x:v>1</x:v>
      </x:c>
      <x:c r="G243" s="22" t="n">
        <x:v>16</x:v>
      </x:c>
      <x:c r="H243" s="22" t="n">
        <x:v>1.1</x:v>
      </x:c>
      <x:c r="I243" s="22" t="n">
        <x:v>1.4</x:v>
      </x:c>
      <x:c r="J243" s="22" t="n">
        <x:f>E243*1.5</x:f>
        <x:v>6000</x:v>
      </x:c>
      <x:c r="K243" s="22" t="n">
        <x:f>E243*2.5</x:f>
        <x:v>10000</x:v>
      </x:c>
      <x:c r="L243" s="22" t="n">
        <x:f>E243*3.5</x:f>
        <x:v>14000</x:v>
      </x:c>
      <x:c r="M243" s="22" t="n">
        <x:f>E243*4.5</x:f>
        <x:v>18000</x:v>
      </x:c>
      <x:c r="N243" s="22" t="n">
        <x:f>E243*5.5</x:f>
        <x:v>22000</x:v>
      </x:c>
      <x:c r="O243" s="22" t="n">
        <x:f>E243*7.5</x:f>
        <x:v>30000</x:v>
      </x:c>
      <x:c r="P243" s="22" t="n">
        <x:f>E243*9.5</x:f>
        <x:v>38000</x:v>
      </x:c>
      <x:c r="Q243" s="18" t="str">
        <x:v>Множество изолированных горных долин</x:v>
      </x:c>
      <x:c r="R243" s="18" t="str">
        <x:v>Проектный профиль v1</x:v>
      </x:c>
      <x:c r="S243" s="18" t="str">
        <x:v>Экспертная классификация проекта</x:v>
      </x:c>
    </x:row>
    <x:row r="244">
      <x:c r="A244" s="18" t="str">
        <x:v>Венесуэльские Льянос</x:v>
      </x:c>
      <x:c r="B244" s="18" t="str">
        <x:v>Север Южной Америки</x:v>
      </x:c>
      <x:c r="C244" s="18" t="str">
        <x:v>Америка</x:v>
      </x:c>
      <x:c r="D244" s="18" t="str">
        <x:v>P6</x:v>
      </x:c>
      <x:c r="E244" s="22" t="n">
        <x:v>15000</x:v>
      </x:c>
      <x:c r="F244" s="22" t="n">
        <x:v>1</x:v>
      </x:c>
      <x:c r="G244" s="22" t="n">
        <x:v>14</x:v>
      </x:c>
      <x:c r="H244" s="22" t="n">
        <x:v>0.4</x:v>
      </x:c>
      <x:c r="I244" s="22" t="n">
        <x:v>0.95</x:v>
      </x:c>
      <x:c r="J244" s="22" t="n">
        <x:f>E244*1.5</x:f>
        <x:v>22500</x:v>
      </x:c>
      <x:c r="K244" s="22" t="n">
        <x:f>E244*2.5</x:f>
        <x:v>37500</x:v>
      </x:c>
      <x:c r="L244" s="22" t="n">
        <x:f>E244*3.5</x:f>
        <x:v>52500</x:v>
      </x:c>
      <x:c r="M244" s="22" t="n">
        <x:f>E244*4.5</x:f>
        <x:v>67500</x:v>
      </x:c>
      <x:c r="N244" s="22" t="n">
        <x:f>E244*5.5</x:f>
        <x:v>82500</x:v>
      </x:c>
      <x:c r="O244" s="22" t="n">
        <x:f>E244*7.5</x:f>
        <x:v>112500</x:v>
      </x:c>
      <x:c r="P244" s="22" t="n">
        <x:f>E244*9.5</x:f>
        <x:v>142500</x:v>
      </x:c>
      <x:c r="Q244" s="18" t="str">
        <x:v>Большие сезонно затопляемые равнины</x:v>
      </x:c>
      <x:c r="R244" s="18" t="str">
        <x:v>Проектный профиль v1</x:v>
      </x:c>
      <x:c r="S244" s="18" t="str">
        <x:v>Экспертная классификация проекта</x:v>
      </x:c>
    </x:row>
    <x:row r="245">
      <x:c r="A245" s="18" t="str">
        <x:v>Гвианское нагорье</x:v>
      </x:c>
      <x:c r="B245" s="18" t="str">
        <x:v>Север Южной Америки</x:v>
      </x:c>
      <x:c r="C245" s="18" t="str">
        <x:v>Америка</x:v>
      </x:c>
      <x:c r="D245" s="18" t="str">
        <x:v>P6</x:v>
      </x:c>
      <x:c r="E245" s="22" t="n">
        <x:v>22000</x:v>
      </x:c>
      <x:c r="F245" s="22" t="n">
        <x:v>1</x:v>
      </x:c>
      <x:c r="G245" s="22" t="n">
        <x:v>12</x:v>
      </x:c>
      <x:c r="H245" s="22" t="n">
        <x:v>0.25</x:v>
      </x:c>
      <x:c r="I245" s="22" t="n">
        <x:v>1.2</x:v>
      </x:c>
      <x:c r="J245" s="22" t="n">
        <x:f>E245*1.5</x:f>
        <x:v>33000</x:v>
      </x:c>
      <x:c r="K245" s="22" t="n">
        <x:f>E245*2.5</x:f>
        <x:v>55000</x:v>
      </x:c>
      <x:c r="L245" s="22" t="n">
        <x:f>E245*3.5</x:f>
        <x:v>77000</x:v>
      </x:c>
      <x:c r="M245" s="22" t="n">
        <x:f>E245*4.5</x:f>
        <x:v>99000</x:v>
      </x:c>
      <x:c r="N245" s="22" t="n">
        <x:f>E245*5.5</x:f>
        <x:v>121000</x:v>
      </x:c>
      <x:c r="O245" s="22" t="n">
        <x:f>E245*7.5</x:f>
        <x:v>165000</x:v>
      </x:c>
      <x:c r="P245" s="22" t="n">
        <x:f>E245*9.5</x:f>
        <x:v>209000</x:v>
      </x:c>
      <x:c r="Q245" s="18" t="str">
        <x:v>Лес и труднодоступное плато</x:v>
      </x:c>
      <x:c r="R245" s="18" t="str">
        <x:v>Проектный профиль v1</x:v>
      </x:c>
      <x:c r="S245" s="18" t="str">
        <x:v>Экспертная классификация проекта</x:v>
      </x:c>
    </x:row>
    <x:row r="246">
      <x:c r="A246" s="18" t="str">
        <x:v>Эквадорские Анды</x:v>
      </x:c>
      <x:c r="B246" s="18" t="str">
        <x:v>Центральные Анды</x:v>
      </x:c>
      <x:c r="C246" s="18" t="str">
        <x:v>Америка</x:v>
      </x:c>
      <x:c r="D246" s="18" t="str">
        <x:v>P4</x:v>
      </x:c>
      <x:c r="E246" s="22" t="n">
        <x:v>4500</x:v>
      </x:c>
      <x:c r="F246" s="22" t="n">
        <x:v>1</x:v>
      </x:c>
      <x:c r="G246" s="22" t="n">
        <x:v>14</x:v>
      </x:c>
      <x:c r="H246" s="22" t="n">
        <x:v>1</x:v>
      </x:c>
      <x:c r="I246" s="22" t="n">
        <x:v>1.4</x:v>
      </x:c>
      <x:c r="J246" s="22" t="n">
        <x:f>E246*1.5</x:f>
        <x:v>6750</x:v>
      </x:c>
      <x:c r="K246" s="22" t="n">
        <x:f>E246*2.5</x:f>
        <x:v>11250</x:v>
      </x:c>
      <x:c r="L246" s="22" t="n">
        <x:f>E246*3.5</x:f>
        <x:v>15750</x:v>
      </x:c>
      <x:c r="M246" s="22" t="n">
        <x:f>E246*4.5</x:f>
        <x:v>20250</x:v>
      </x:c>
      <x:c r="N246" s="22" t="n">
        <x:f>E246*5.5</x:f>
        <x:v>24750</x:v>
      </x:c>
      <x:c r="O246" s="22" t="n">
        <x:f>E246*7.5</x:f>
        <x:v>33750</x:v>
      </x:c>
      <x:c r="P246" s="22" t="n">
        <x:f>E246*9.5</x:f>
        <x:v>42750</x:v>
      </x:c>
      <x:c r="Q246" s="18" t="str">
        <x:v>Высокогорные долины</x:v>
      </x:c>
      <x:c r="R246" s="18" t="str">
        <x:v>Проектный профиль v1</x:v>
      </x:c>
      <x:c r="S246" s="18" t="str">
        <x:v>Экспертная классификация проекта</x:v>
      </x:c>
    </x:row>
    <x:row r="247">
      <x:c r="A247" s="18" t="str">
        <x:v>Перуанское побережье</x:v>
      </x:c>
      <x:c r="B247" s="18" t="str">
        <x:v>Центральные Анды</x:v>
      </x:c>
      <x:c r="C247" s="18" t="str">
        <x:v>Америка</x:v>
      </x:c>
      <x:c r="D247" s="18" t="str">
        <x:v>P5</x:v>
      </x:c>
      <x:c r="E247" s="22" t="n">
        <x:v>8000</x:v>
      </x:c>
      <x:c r="F247" s="22" t="n">
        <x:v>1</x:v>
      </x:c>
      <x:c r="G247" s="22" t="n">
        <x:v>14</x:v>
      </x:c>
      <x:c r="H247" s="22" t="n">
        <x:v>0.7</x:v>
      </x:c>
      <x:c r="I247" s="22" t="n">
        <x:v>1.15</x:v>
      </x:c>
      <x:c r="J247" s="22" t="n">
        <x:f>E247*1.5</x:f>
        <x:v>12000</x:v>
      </x:c>
      <x:c r="K247" s="22" t="n">
        <x:f>E247*2.5</x:f>
        <x:v>20000</x:v>
      </x:c>
      <x:c r="L247" s="22" t="n">
        <x:f>E247*3.5</x:f>
        <x:v>28000</x:v>
      </x:c>
      <x:c r="M247" s="22" t="n">
        <x:f>E247*4.5</x:f>
        <x:v>36000</x:v>
      </x:c>
      <x:c r="N247" s="22" t="n">
        <x:f>E247*5.5</x:f>
        <x:v>44000</x:v>
      </x:c>
      <x:c r="O247" s="22" t="n">
        <x:f>E247*7.5</x:f>
        <x:v>60000</x:v>
      </x:c>
      <x:c r="P247" s="22" t="n">
        <x:f>E247*9.5</x:f>
        <x:v>76000</x:v>
      </x:c>
      <x:c r="Q247" s="18" t="str">
        <x:v>Пустынное побережье и речные оазисы</x:v>
      </x:c>
      <x:c r="R247" s="18" t="str">
        <x:v>Проектный профиль v1</x:v>
      </x:c>
      <x:c r="S247" s="18" t="str">
        <x:v>Экспертная классификация проекта</x:v>
      </x:c>
    </x:row>
    <x:row r="248">
      <x:c r="A248" s="18" t="str">
        <x:v>Перуанские Анды</x:v>
      </x:c>
      <x:c r="B248" s="18" t="str">
        <x:v>Центральные Анды</x:v>
      </x:c>
      <x:c r="C248" s="18" t="str">
        <x:v>Америка</x:v>
      </x:c>
      <x:c r="D248" s="18" t="str">
        <x:v>P5</x:v>
      </x:c>
      <x:c r="E248" s="22" t="n">
        <x:v>9000</x:v>
      </x:c>
      <x:c r="F248" s="22" t="n">
        <x:v>1</x:v>
      </x:c>
      <x:c r="G248" s="22" t="n">
        <x:v>14</x:v>
      </x:c>
      <x:c r="H248" s="22" t="n">
        <x:v>0.65</x:v>
      </x:c>
      <x:c r="I248" s="22" t="n">
        <x:v>1.4</x:v>
      </x:c>
      <x:c r="J248" s="22" t="n">
        <x:f>E248*1.5</x:f>
        <x:v>13500</x:v>
      </x:c>
      <x:c r="K248" s="22" t="n">
        <x:f>E248*2.5</x:f>
        <x:v>22500</x:v>
      </x:c>
      <x:c r="L248" s="22" t="n">
        <x:f>E248*3.5</x:f>
        <x:v>31500</x:v>
      </x:c>
      <x:c r="M248" s="22" t="n">
        <x:f>E248*4.5</x:f>
        <x:v>40500</x:v>
      </x:c>
      <x:c r="N248" s="22" t="n">
        <x:f>E248*5.5</x:f>
        <x:v>49500</x:v>
      </x:c>
      <x:c r="O248" s="22" t="n">
        <x:f>E248*7.5</x:f>
        <x:v>67500</x:v>
      </x:c>
      <x:c r="P248" s="22" t="n">
        <x:f>E248*9.5</x:f>
        <x:v>85500</x:v>
      </x:c>
      <x:c r="Q248" s="18" t="str">
        <x:v>Высокогорные долины и плато</x:v>
      </x:c>
      <x:c r="R248" s="18" t="str">
        <x:v>Проектный профиль v1</x:v>
      </x:c>
      <x:c r="S248" s="18" t="str">
        <x:v>Экспертная классификация проекта</x:v>
      </x:c>
    </x:row>
    <x:row r="249">
      <x:c r="A249" s="18" t="str">
        <x:v>Альтиплано</x:v>
      </x:c>
      <x:c r="B249" s="18" t="str">
        <x:v>Центральные Анды</x:v>
      </x:c>
      <x:c r="C249" s="18" t="str">
        <x:v>Америка</x:v>
      </x:c>
      <x:c r="D249" s="18" t="str">
        <x:v>P6</x:v>
      </x:c>
      <x:c r="E249" s="22" t="n">
        <x:v>16000</x:v>
      </x:c>
      <x:c r="F249" s="22" t="n">
        <x:v>1</x:v>
      </x:c>
      <x:c r="G249" s="22" t="n">
        <x:v>14</x:v>
      </x:c>
      <x:c r="H249" s="22" t="n">
        <x:v>0.45</x:v>
      </x:c>
      <x:c r="I249" s="22" t="n">
        <x:v>1.25</x:v>
      </x:c>
      <x:c r="J249" s="22" t="n">
        <x:f>E249*1.5</x:f>
        <x:v>24000</x:v>
      </x:c>
      <x:c r="K249" s="22" t="n">
        <x:f>E249*2.5</x:f>
        <x:v>40000</x:v>
      </x:c>
      <x:c r="L249" s="22" t="n">
        <x:f>E249*3.5</x:f>
        <x:v>56000</x:v>
      </x:c>
      <x:c r="M249" s="22" t="n">
        <x:f>E249*4.5</x:f>
        <x:v>72000</x:v>
      </x:c>
      <x:c r="N249" s="22" t="n">
        <x:f>E249*5.5</x:f>
        <x:v>88000</x:v>
      </x:c>
      <x:c r="O249" s="22" t="n">
        <x:f>E249*7.5</x:f>
        <x:v>120000</x:v>
      </x:c>
      <x:c r="P249" s="22" t="n">
        <x:f>E249*9.5</x:f>
        <x:v>152000</x:v>
      </x:c>
      <x:c r="Q249" s="18" t="str">
        <x:v>Высокогорное плато и редкие центры</x:v>
      </x:c>
      <x:c r="R249" s="18" t="str">
        <x:v>Проектный профиль v1</x:v>
      </x:c>
      <x:c r="S249" s="18" t="str">
        <x:v>Экспертная классификация проекта</x:v>
      </x:c>
    </x:row>
    <x:row r="250">
      <x:c r="A250" s="18" t="str">
        <x:v>Амазонская сельва</x:v>
      </x:c>
      <x:c r="B250" s="18" t="str">
        <x:v>Амазония</x:v>
      </x:c>
      <x:c r="C250" s="18" t="str">
        <x:v>Америка</x:v>
      </x:c>
      <x:c r="D250" s="18" t="str">
        <x:v>P7</x:v>
      </x:c>
      <x:c r="E250" s="22" t="n">
        <x:v>45000</x:v>
      </x:c>
      <x:c r="F250" s="22" t="n">
        <x:v>1</x:v>
      </x:c>
      <x:c r="G250" s="22" t="n">
        <x:v>14</x:v>
      </x:c>
      <x:c r="H250" s="22" t="n">
        <x:v>0.15</x:v>
      </x:c>
      <x:c r="I250" s="22" t="n">
        <x:v>1.1</x:v>
      </x:c>
      <x:c r="J250" s="22" t="n">
        <x:f>E250*1.5</x:f>
        <x:v>67500</x:v>
      </x:c>
      <x:c r="K250" s="22" t="n">
        <x:f>E250*2.5</x:f>
        <x:v>112500</x:v>
      </x:c>
      <x:c r="L250" s="22" t="n">
        <x:f>E250*3.5</x:f>
        <x:v>157500</x:v>
      </x:c>
      <x:c r="M250" s="22" t="n">
        <x:f>E250*4.5</x:f>
        <x:v>202500</x:v>
      </x:c>
      <x:c r="N250" s="22" t="n">
        <x:f>E250*5.5</x:f>
        <x:v>247500</x:v>
      </x:c>
      <x:c r="O250" s="22" t="n">
        <x:f>E250*7.5</x:f>
        <x:v>337500</x:v>
      </x:c>
      <x:c r="P250" s="22" t="n">
        <x:f>E250*9.5</x:f>
        <x:v>427500</x:v>
      </x:c>
      <x:c r="Q250" s="18" t="str">
        <x:v>Реки важны, но население редкое</x:v>
      </x:c>
      <x:c r="R250" s="18" t="str">
        <x:v>Проектный профиль v1</x:v>
      </x:c>
      <x:c r="S250" s="18" t="str">
        <x:v>Экспертная классификация проекта</x:v>
      </x:c>
    </x:row>
    <x:row r="251">
      <x:c r="A251" s="18" t="str">
        <x:v>Верхняя Амазонка</x:v>
      </x:c>
      <x:c r="B251" s="18" t="str">
        <x:v>Амазония</x:v>
      </x:c>
      <x:c r="C251" s="18" t="str">
        <x:v>Америка</x:v>
      </x:c>
      <x:c r="D251" s="18" t="str">
        <x:v>P7</x:v>
      </x:c>
      <x:c r="E251" s="22" t="n">
        <x:v>35000</x:v>
      </x:c>
      <x:c r="F251" s="22" t="n">
        <x:v>1</x:v>
      </x:c>
      <x:c r="G251" s="22" t="n">
        <x:v>14</x:v>
      </x:c>
      <x:c r="H251" s="22" t="n">
        <x:v>0.2</x:v>
      </x:c>
      <x:c r="I251" s="22" t="n">
        <x:v>1.2</x:v>
      </x:c>
      <x:c r="J251" s="22" t="n">
        <x:f>E251*1.5</x:f>
        <x:v>52500</x:v>
      </x:c>
      <x:c r="K251" s="22" t="n">
        <x:f>E251*2.5</x:f>
        <x:v>87500</x:v>
      </x:c>
      <x:c r="L251" s="22" t="n">
        <x:f>E251*3.5</x:f>
        <x:v>122500</x:v>
      </x:c>
      <x:c r="M251" s="22" t="n">
        <x:f>E251*4.5</x:f>
        <x:v>157500</x:v>
      </x:c>
      <x:c r="N251" s="22" t="n">
        <x:f>E251*5.5</x:f>
        <x:v>192500</x:v>
      </x:c>
      <x:c r="O251" s="22" t="n">
        <x:f>E251*7.5</x:f>
        <x:v>262500</x:v>
      </x:c>
      <x:c r="P251" s="22" t="n">
        <x:f>E251*9.5</x:f>
        <x:v>332500</x:v>
      </x:c>
      <x:c r="Q251" s="18" t="str">
        <x:v>Предгорья, реки и лес</x:v>
      </x:c>
      <x:c r="R251" s="18" t="str">
        <x:v>Проектный профиль v1</x:v>
      </x:c>
      <x:c r="S251" s="18" t="str">
        <x:v>Экспертная классификация проекта</x:v>
      </x:c>
    </x:row>
    <x:row r="252">
      <x:c r="A252" s="18" t="str">
        <x:v>Северо-Восточная Бразилия</x:v>
      </x:c>
      <x:c r="B252" s="18" t="str">
        <x:v>Бразилия</x:v>
      </x:c>
      <x:c r="C252" s="18" t="str">
        <x:v>Америка</x:v>
      </x:c>
      <x:c r="D252" s="18" t="str">
        <x:v>P5</x:v>
      </x:c>
      <x:c r="E252" s="22" t="n">
        <x:v>8000</x:v>
      </x:c>
      <x:c r="F252" s="22" t="n">
        <x:v>1</x:v>
      </x:c>
      <x:c r="G252" s="22" t="n">
        <x:v>16</x:v>
      </x:c>
      <x:c r="H252" s="22" t="n">
        <x:v>0.75</x:v>
      </x:c>
      <x:c r="I252" s="22" t="n">
        <x:v>1.05</x:v>
      </x:c>
      <x:c r="J252" s="22" t="n">
        <x:f>E252*1.5</x:f>
        <x:v>12000</x:v>
      </x:c>
      <x:c r="K252" s="22" t="n">
        <x:f>E252*2.5</x:f>
        <x:v>20000</x:v>
      </x:c>
      <x:c r="L252" s="22" t="n">
        <x:f>E252*3.5</x:f>
        <x:v>28000</x:v>
      </x:c>
      <x:c r="M252" s="22" t="n">
        <x:f>E252*4.5</x:f>
        <x:v>36000</x:v>
      </x:c>
      <x:c r="N252" s="22" t="n">
        <x:f>E252*5.5</x:f>
        <x:v>44000</x:v>
      </x:c>
      <x:c r="O252" s="22" t="n">
        <x:f>E252*7.5</x:f>
        <x:v>60000</x:v>
      </x:c>
      <x:c r="P252" s="22" t="n">
        <x:f>E252*9.5</x:f>
        <x:v>76000</x:v>
      </x:c>
      <x:c r="Q252" s="18" t="str">
        <x:v>Засушливое внутреннее плато и плотное побережье</x:v>
      </x:c>
      <x:c r="R252" s="18" t="str">
        <x:v>Проектный профиль v1</x:v>
      </x:c>
      <x:c r="S252" s="18" t="str">
        <x:v>Экспертная классификация проекта</x:v>
      </x:c>
    </x:row>
    <x:row r="253">
      <x:c r="A253" s="18" t="str">
        <x:v>Юго-Восточная Бразилия</x:v>
      </x:c>
      <x:c r="B253" s="18" t="str">
        <x:v>Бразилия</x:v>
      </x:c>
      <x:c r="C253" s="18" t="str">
        <x:v>Америка</x:v>
      </x:c>
      <x:c r="D253" s="18" t="str">
        <x:v>P4</x:v>
      </x:c>
      <x:c r="E253" s="22" t="n">
        <x:v>5000</x:v>
      </x:c>
      <x:c r="F253" s="22" t="n">
        <x:v>1</x:v>
      </x:c>
      <x:c r="G253" s="22" t="n">
        <x:v>16</x:v>
      </x:c>
      <x:c r="H253" s="22" t="n">
        <x:v>1.1</x:v>
      </x:c>
      <x:c r="I253" s="22" t="n">
        <x:v>1.1</x:v>
      </x:c>
      <x:c r="J253" s="22" t="n">
        <x:f>E253*1.5</x:f>
        <x:v>7500</x:v>
      </x:c>
      <x:c r="K253" s="22" t="n">
        <x:f>E253*2.5</x:f>
        <x:v>12500</x:v>
      </x:c>
      <x:c r="L253" s="22" t="n">
        <x:f>E253*3.5</x:f>
        <x:v>17500</x:v>
      </x:c>
      <x:c r="M253" s="22" t="n">
        <x:f>E253*4.5</x:f>
        <x:v>22500</x:v>
      </x:c>
      <x:c r="N253" s="22" t="n">
        <x:f>E253*5.5</x:f>
        <x:v>27500</x:v>
      </x:c>
      <x:c r="O253" s="22" t="n">
        <x:f>E253*7.5</x:f>
        <x:v>37500</x:v>
      </x:c>
      <x:c r="P253" s="22" t="n">
        <x:f>E253*9.5</x:f>
        <x:v>47500</x:v>
      </x:c>
      <x:c r="Q253" s="18" t="str">
        <x:v>Развитое и плотное ядро</x:v>
      </x:c>
      <x:c r="R253" s="18" t="str">
        <x:v>Проектный профиль v1</x:v>
      </x:c>
      <x:c r="S253" s="18" t="str">
        <x:v>Экспертная классификация проекта</x:v>
      </x:c>
    </x:row>
    <x:row r="254">
      <x:c r="A254" s="18" t="str">
        <x:v>Южная Бразилия</x:v>
      </x:c>
      <x:c r="B254" s="18" t="str">
        <x:v>Бразилия</x:v>
      </x:c>
      <x:c r="C254" s="18" t="str">
        <x:v>Америка</x:v>
      </x:c>
      <x:c r="D254" s="18" t="str">
        <x:v>P5</x:v>
      </x:c>
      <x:c r="E254" s="22" t="n">
        <x:v>7000</x:v>
      </x:c>
      <x:c r="F254" s="22" t="n">
        <x:v>1</x:v>
      </x:c>
      <x:c r="G254" s="22" t="n">
        <x:v>16</x:v>
      </x:c>
      <x:c r="H254" s="22" t="n">
        <x:v>0.9</x:v>
      </x:c>
      <x:c r="I254" s="22" t="n">
        <x:v>1.05</x:v>
      </x:c>
      <x:c r="J254" s="22" t="n">
        <x:f>E254*1.5</x:f>
        <x:v>10500</x:v>
      </x:c>
      <x:c r="K254" s="22" t="n">
        <x:f>E254*2.5</x:f>
        <x:v>17500</x:v>
      </x:c>
      <x:c r="L254" s="22" t="n">
        <x:f>E254*3.5</x:f>
        <x:v>24500</x:v>
      </x:c>
      <x:c r="M254" s="22" t="n">
        <x:f>E254*4.5</x:f>
        <x:v>31500</x:v>
      </x:c>
      <x:c r="N254" s="22" t="n">
        <x:f>E254*5.5</x:f>
        <x:v>38500</x:v>
      </x:c>
      <x:c r="O254" s="22" t="n">
        <x:f>E254*7.5</x:f>
        <x:v>52500</x:v>
      </x:c>
      <x:c r="P254" s="22" t="n">
        <x:f>E254*9.5</x:f>
        <x:v>66500</x:v>
      </x:c>
      <x:c r="Q254" s="18" t="str">
        <x:v>Аграрные плато и города</x:v>
      </x:c>
      <x:c r="R254" s="18" t="str">
        <x:v>Проектный профиль v1</x:v>
      </x:c>
      <x:c r="S254" s="18" t="str">
        <x:v>Экспертная классификация проекта</x:v>
      </x:c>
    </x:row>
    <x:row r="255">
      <x:c r="A255" s="18" t="str">
        <x:v>Бразильское внутреннее плато</x:v>
      </x:c>
      <x:c r="B255" s="18" t="str">
        <x:v>Бразилия</x:v>
      </x:c>
      <x:c r="C255" s="18" t="str">
        <x:v>Америка</x:v>
      </x:c>
      <x:c r="D255" s="18" t="str">
        <x:v>P6</x:v>
      </x:c>
      <x:c r="E255" s="22" t="n">
        <x:v>14000</x:v>
      </x:c>
      <x:c r="F255" s="22" t="n">
        <x:v>1</x:v>
      </x:c>
      <x:c r="G255" s="22" t="n">
        <x:v>16</x:v>
      </x:c>
      <x:c r="H255" s="22" t="n">
        <x:v>0.5</x:v>
      </x:c>
      <x:c r="I255" s="22" t="n">
        <x:v>1.05</x:v>
      </x:c>
      <x:c r="J255" s="22" t="n">
        <x:f>E255*1.5</x:f>
        <x:v>21000</x:v>
      </x:c>
      <x:c r="K255" s="22" t="n">
        <x:f>E255*2.5</x:f>
        <x:v>35000</x:v>
      </x:c>
      <x:c r="L255" s="22" t="n">
        <x:f>E255*3.5</x:f>
        <x:v>49000</x:v>
      </x:c>
      <x:c r="M255" s="22" t="n">
        <x:f>E255*4.5</x:f>
        <x:v>63000</x:v>
      </x:c>
      <x:c r="N255" s="22" t="n">
        <x:f>E255*5.5</x:f>
        <x:v>77000</x:v>
      </x:c>
      <x:c r="O255" s="22" t="n">
        <x:f>E255*7.5</x:f>
        <x:v>105000</x:v>
      </x:c>
      <x:c r="P255" s="22" t="n">
        <x:f>E255*9.5</x:f>
        <x:v>133000</x:v>
      </x:c>
      <x:c r="Q255" s="18" t="str">
        <x:v>Большие саванны и редкая сеть</x:v>
      </x:c>
      <x:c r="R255" s="18" t="str">
        <x:v>Проектный профиль v1</x:v>
      </x:c>
      <x:c r="S255" s="18" t="str">
        <x:v>Экспертная классификация проекта</x:v>
      </x:c>
    </x:row>
    <x:row r="256">
      <x:c r="A256" s="18" t="str">
        <x:v>Пантанал</x:v>
      </x:c>
      <x:c r="B256" s="18" t="str">
        <x:v>Бразилия</x:v>
      </x:c>
      <x:c r="C256" s="18" t="str">
        <x:v>Америка</x:v>
      </x:c>
      <x:c r="D256" s="18" t="str">
        <x:v>P6</x:v>
      </x:c>
      <x:c r="E256" s="22" t="n">
        <x:v>18000</x:v>
      </x:c>
      <x:c r="F256" s="22" t="n">
        <x:v>1</x:v>
      </x:c>
      <x:c r="G256" s="22" t="n">
        <x:v>12</x:v>
      </x:c>
      <x:c r="H256" s="22" t="n">
        <x:v>0.3</x:v>
      </x:c>
      <x:c r="I256" s="22" t="n">
        <x:v>1.05</x:v>
      </x:c>
      <x:c r="J256" s="22" t="n">
        <x:f>E256*1.5</x:f>
        <x:v>27000</x:v>
      </x:c>
      <x:c r="K256" s="22" t="n">
        <x:f>E256*2.5</x:f>
        <x:v>45000</x:v>
      </x:c>
      <x:c r="L256" s="22" t="n">
        <x:f>E256*3.5</x:f>
        <x:v>63000</x:v>
      </x:c>
      <x:c r="M256" s="22" t="n">
        <x:f>E256*4.5</x:f>
        <x:v>81000</x:v>
      </x:c>
      <x:c r="N256" s="22" t="n">
        <x:f>E256*5.5</x:f>
        <x:v>99000</x:v>
      </x:c>
      <x:c r="O256" s="22" t="n">
        <x:f>E256*7.5</x:f>
        <x:v>135000</x:v>
      </x:c>
      <x:c r="P256" s="22" t="n">
        <x:f>E256*9.5</x:f>
        <x:v>171000</x:v>
      </x:c>
      <x:c r="Q256" s="18" t="str">
        <x:v>Водно-болотная низменность</x:v>
      </x:c>
      <x:c r="R256" s="18" t="str">
        <x:v>Проектный профиль v1</x:v>
      </x:c>
      <x:c r="S256" s="18" t="str">
        <x:v>Экспертная классификация проекта</x:v>
      </x:c>
    </x:row>
    <x:row r="257">
      <x:c r="A257" s="18" t="str">
        <x:v>Гран-Чако</x:v>
      </x:c>
      <x:c r="B257" s="18" t="str">
        <x:v>Южная Америка</x:v>
      </x:c>
      <x:c r="C257" s="18" t="str">
        <x:v>Америка</x:v>
      </x:c>
      <x:c r="D257" s="18" t="str">
        <x:v>P6</x:v>
      </x:c>
      <x:c r="E257" s="22" t="n">
        <x:v>18000</x:v>
      </x:c>
      <x:c r="F257" s="22" t="n">
        <x:v>1</x:v>
      </x:c>
      <x:c r="G257" s="22" t="n">
        <x:v>14</x:v>
      </x:c>
      <x:c r="H257" s="22" t="n">
        <x:v>0.35</x:v>
      </x:c>
      <x:c r="I257" s="22" t="n">
        <x:v>1</x:v>
      </x:c>
      <x:c r="J257" s="22" t="n">
        <x:f>E257*1.5</x:f>
        <x:v>27000</x:v>
      </x:c>
      <x:c r="K257" s="22" t="n">
        <x:f>E257*2.5</x:f>
        <x:v>45000</x:v>
      </x:c>
      <x:c r="L257" s="22" t="n">
        <x:f>E257*3.5</x:f>
        <x:v>63000</x:v>
      </x:c>
      <x:c r="M257" s="22" t="n">
        <x:f>E257*4.5</x:f>
        <x:v>81000</x:v>
      </x:c>
      <x:c r="N257" s="22" t="n">
        <x:f>E257*5.5</x:f>
        <x:v>99000</x:v>
      </x:c>
      <x:c r="O257" s="22" t="n">
        <x:f>E257*7.5</x:f>
        <x:v>135000</x:v>
      </x:c>
      <x:c r="P257" s="22" t="n">
        <x:f>E257*9.5</x:f>
        <x:v>171000</x:v>
      </x:c>
      <x:c r="Q257" s="18" t="str">
        <x:v>Редкая сеть и большие пространства</x:v>
      </x:c>
      <x:c r="R257" s="18" t="str">
        <x:v>Проектный профиль v1</x:v>
      </x:c>
      <x:c r="S257" s="18" t="str">
        <x:v>Экспертная классификация проекта</x:v>
      </x:c>
    </x:row>
    <x:row r="258">
      <x:c r="A258" s="18" t="str">
        <x:v>Пампа</x:v>
      </x:c>
      <x:c r="B258" s="18" t="str">
        <x:v>Южная Америка</x:v>
      </x:c>
      <x:c r="C258" s="18" t="str">
        <x:v>Америка</x:v>
      </x:c>
      <x:c r="D258" s="18" t="str">
        <x:v>P5</x:v>
      </x:c>
      <x:c r="E258" s="22" t="n">
        <x:v>9000</x:v>
      </x:c>
      <x:c r="F258" s="22" t="n">
        <x:v>1</x:v>
      </x:c>
      <x:c r="G258" s="22" t="n">
        <x:v>16</x:v>
      </x:c>
      <x:c r="H258" s="22" t="n">
        <x:v>0.75</x:v>
      </x:c>
      <x:c r="I258" s="22" t="n">
        <x:v>0.95</x:v>
      </x:c>
      <x:c r="J258" s="22" t="n">
        <x:f>E258*1.5</x:f>
        <x:v>13500</x:v>
      </x:c>
      <x:c r="K258" s="22" t="n">
        <x:f>E258*2.5</x:f>
        <x:v>22500</x:v>
      </x:c>
      <x:c r="L258" s="22" t="n">
        <x:f>E258*3.5</x:f>
        <x:v>31500</x:v>
      </x:c>
      <x:c r="M258" s="22" t="n">
        <x:f>E258*4.5</x:f>
        <x:v>40500</x:v>
      </x:c>
      <x:c r="N258" s="22" t="n">
        <x:f>E258*5.5</x:f>
        <x:v>49500</x:v>
      </x:c>
      <x:c r="O258" s="22" t="n">
        <x:f>E258*7.5</x:f>
        <x:v>67500</x:v>
      </x:c>
      <x:c r="P258" s="22" t="n">
        <x:f>E258*9.5</x:f>
        <x:v>85500</x:v>
      </x:c>
      <x:c r="Q258" s="18" t="str">
        <x:v>Широкие плодородные равнины</x:v>
      </x:c>
      <x:c r="R258" s="18" t="str">
        <x:v>Проектный профиль v1</x:v>
      </x:c>
      <x:c r="S258" s="18" t="str">
        <x:v>Экспертная классификация проекта</x:v>
      </x:c>
    </x:row>
    <x:row r="259">
      <x:c r="A259" s="18" t="str">
        <x:v>Месопотамия Южной Америки</x:v>
      </x:c>
      <x:c r="B259" s="18" t="str">
        <x:v>Южная Америка</x:v>
      </x:c>
      <x:c r="C259" s="18" t="str">
        <x:v>Америка</x:v>
      </x:c>
      <x:c r="D259" s="18" t="str">
        <x:v>P5</x:v>
      </x:c>
      <x:c r="E259" s="22" t="n">
        <x:v>7000</x:v>
      </x:c>
      <x:c r="F259" s="22" t="n">
        <x:v>1</x:v>
      </x:c>
      <x:c r="G259" s="22" t="n">
        <x:v>14</x:v>
      </x:c>
      <x:c r="H259" s="22" t="n">
        <x:v>0.85</x:v>
      </x:c>
      <x:c r="I259" s="22" t="n">
        <x:v>1.05</x:v>
      </x:c>
      <x:c r="J259" s="22" t="n">
        <x:f>E259*1.5</x:f>
        <x:v>10500</x:v>
      </x:c>
      <x:c r="K259" s="22" t="n">
        <x:f>E259*2.5</x:f>
        <x:v>17500</x:v>
      </x:c>
      <x:c r="L259" s="22" t="n">
        <x:f>E259*3.5</x:f>
        <x:v>24500</x:v>
      </x:c>
      <x:c r="M259" s="22" t="n">
        <x:f>E259*4.5</x:f>
        <x:v>31500</x:v>
      </x:c>
      <x:c r="N259" s="22" t="n">
        <x:f>E259*5.5</x:f>
        <x:v>38500</x:v>
      </x:c>
      <x:c r="O259" s="22" t="n">
        <x:f>E259*7.5</x:f>
        <x:v>52500</x:v>
      </x:c>
      <x:c r="P259" s="22" t="n">
        <x:f>E259*9.5</x:f>
        <x:v>66500</x:v>
      </x:c>
      <x:c r="Q259" s="18" t="str">
        <x:v>Реки Парана и Уругвай</x:v>
      </x:c>
      <x:c r="R259" s="18" t="str">
        <x:v>Проектный профиль v1</x:v>
      </x:c>
      <x:c r="S259" s="18" t="str">
        <x:v>Экспертная классификация проекта</x:v>
      </x:c>
    </x:row>
    <x:row r="260">
      <x:c r="A260" s="18" t="str">
        <x:v>Центральное Чили</x:v>
      </x:c>
      <x:c r="B260" s="18" t="str">
        <x:v>Южные Анды</x:v>
      </x:c>
      <x:c r="C260" s="18" t="str">
        <x:v>Америка</x:v>
      </x:c>
      <x:c r="D260" s="18" t="str">
        <x:v>P4</x:v>
      </x:c>
      <x:c r="E260" s="22" t="n">
        <x:v>4500</x:v>
      </x:c>
      <x:c r="F260" s="22" t="n">
        <x:v>1</x:v>
      </x:c>
      <x:c r="G260" s="22" t="n">
        <x:v>14</x:v>
      </x:c>
      <x:c r="H260" s="22" t="n">
        <x:v>1.1</x:v>
      </x:c>
      <x:c r="I260" s="22" t="n">
        <x:v>1.25</x:v>
      </x:c>
      <x:c r="J260" s="22" t="n">
        <x:f>E260*1.5</x:f>
        <x:v>6750</x:v>
      </x:c>
      <x:c r="K260" s="22" t="n">
        <x:f>E260*2.5</x:f>
        <x:v>11250</x:v>
      </x:c>
      <x:c r="L260" s="22" t="n">
        <x:f>E260*3.5</x:f>
        <x:v>15750</x:v>
      </x:c>
      <x:c r="M260" s="22" t="n">
        <x:f>E260*4.5</x:f>
        <x:v>20250</x:v>
      </x:c>
      <x:c r="N260" s="22" t="n">
        <x:f>E260*5.5</x:f>
        <x:v>24750</x:v>
      </x:c>
      <x:c r="O260" s="22" t="n">
        <x:f>E260*7.5</x:f>
        <x:v>33750</x:v>
      </x:c>
      <x:c r="P260" s="22" t="n">
        <x:f>E260*9.5</x:f>
        <x:v>42750</x:v>
      </x:c>
      <x:c r="Q260" s="18" t="str">
        <x:v>Плотная продольная долина</x:v>
      </x:c>
      <x:c r="R260" s="18" t="str">
        <x:v>Проектный профиль v1</x:v>
      </x:c>
      <x:c r="S260" s="18" t="str">
        <x:v>Экспертная классификация проекта</x:v>
      </x:c>
    </x:row>
    <x:row r="261">
      <x:c r="A261" s="18" t="str">
        <x:v>Южные Анды</x:v>
      </x:c>
      <x:c r="B261" s="18" t="str">
        <x:v>Южные Анды</x:v>
      </x:c>
      <x:c r="C261" s="18" t="str">
        <x:v>Америка</x:v>
      </x:c>
      <x:c r="D261" s="18" t="str">
        <x:v>P6</x:v>
      </x:c>
      <x:c r="E261" s="22" t="n">
        <x:v>16000</x:v>
      </x:c>
      <x:c r="F261" s="22" t="n">
        <x:v>1</x:v>
      </x:c>
      <x:c r="G261" s="22" t="n">
        <x:v>12</x:v>
      </x:c>
      <x:c r="H261" s="22" t="n">
        <x:v>0.4</x:v>
      </x:c>
      <x:c r="I261" s="22" t="n">
        <x:v>1.4</x:v>
      </x:c>
      <x:c r="J261" s="22" t="n">
        <x:f>E261*1.5</x:f>
        <x:v>24000</x:v>
      </x:c>
      <x:c r="K261" s="22" t="n">
        <x:f>E261*2.5</x:f>
        <x:v>40000</x:v>
      </x:c>
      <x:c r="L261" s="22" t="n">
        <x:f>E261*3.5</x:f>
        <x:v>56000</x:v>
      </x:c>
      <x:c r="M261" s="22" t="n">
        <x:f>E261*4.5</x:f>
        <x:v>72000</x:v>
      </x:c>
      <x:c r="N261" s="22" t="n">
        <x:f>E261*5.5</x:f>
        <x:v>88000</x:v>
      </x:c>
      <x:c r="O261" s="22" t="n">
        <x:f>E261*7.5</x:f>
        <x:v>120000</x:v>
      </x:c>
      <x:c r="P261" s="22" t="n">
        <x:f>E261*9.5</x:f>
        <x:v>152000</x:v>
      </x:c>
      <x:c r="Q261" s="18" t="str">
        <x:v>Горы, ледники и узкие долины</x:v>
      </x:c>
      <x:c r="R261" s="18" t="str">
        <x:v>Проектный профиль v1</x:v>
      </x:c>
      <x:c r="S261" s="18" t="str">
        <x:v>Экспертная классификация проекта</x:v>
      </x:c>
    </x:row>
    <x:row r="262">
      <x:c r="A262" s="18" t="str">
        <x:v>Патагония</x:v>
      </x:c>
      <x:c r="B262" s="18" t="str">
        <x:v>Южная Америка</x:v>
      </x:c>
      <x:c r="C262" s="18" t="str">
        <x:v>Америка</x:v>
      </x:c>
      <x:c r="D262" s="18" t="str">
        <x:v>P7</x:v>
      </x:c>
      <x:c r="E262" s="22" t="n">
        <x:v>35000</x:v>
      </x:c>
      <x:c r="F262" s="22" t="n">
        <x:v>1</x:v>
      </x:c>
      <x:c r="G262" s="22" t="n">
        <x:v>12</x:v>
      </x:c>
      <x:c r="H262" s="22" t="n">
        <x:v>0.15</x:v>
      </x:c>
      <x:c r="I262" s="22" t="n">
        <x:v>1.05</x:v>
      </x:c>
      <x:c r="J262" s="22" t="n">
        <x:f>E262*1.5</x:f>
        <x:v>52500</x:v>
      </x:c>
      <x:c r="K262" s="22" t="n">
        <x:f>E262*2.5</x:f>
        <x:v>87500</x:v>
      </x:c>
      <x:c r="L262" s="22" t="n">
        <x:f>E262*3.5</x:f>
        <x:v>122500</x:v>
      </x:c>
      <x:c r="M262" s="22" t="n">
        <x:f>E262*4.5</x:f>
        <x:v>157500</x:v>
      </x:c>
      <x:c r="N262" s="22" t="n">
        <x:f>E262*5.5</x:f>
        <x:v>192500</x:v>
      </x:c>
      <x:c r="O262" s="22" t="n">
        <x:f>E262*7.5</x:f>
        <x:v>262500</x:v>
      </x:c>
      <x:c r="P262" s="22" t="n">
        <x:f>E262*9.5</x:f>
        <x:v>332500</x:v>
      </x:c>
      <x:c r="Q262" s="18" t="str">
        <x:v>Крайне редкая степь</x:v>
      </x:c>
      <x:c r="R262" s="18" t="str">
        <x:v>Проектный профиль v1</x:v>
      </x:c>
      <x:c r="S262" s="18" t="str">
        <x:v>Экспертная классификация проекта</x:v>
      </x:c>
    </x:row>
    <x:row r="263">
      <x:c r="A263" s="18" t="str">
        <x:v>Огненная Земля</x:v>
      </x:c>
      <x:c r="B263" s="18" t="str">
        <x:v>Южная Америка</x:v>
      </x:c>
      <x:c r="C263" s="18" t="str">
        <x:v>Америка</x:v>
      </x:c>
      <x:c r="D263" s="18" t="str">
        <x:v>P7</x:v>
      </x:c>
      <x:c r="E263" s="22" t="n">
        <x:v>25000</x:v>
      </x:c>
      <x:c r="F263" s="22" t="n">
        <x:v>1</x:v>
      </x:c>
      <x:c r="G263" s="22" t="n">
        <x:v>8</x:v>
      </x:c>
      <x:c r="H263" s="22" t="n">
        <x:v>0.15</x:v>
      </x:c>
      <x:c r="I263" s="22" t="n">
        <x:v>1.35</x:v>
      </x:c>
      <x:c r="J263" s="22" t="n">
        <x:f>E263*1.5</x:f>
        <x:v>37500</x:v>
      </x:c>
      <x:c r="K263" s="22" t="n">
        <x:f>E263*2.5</x:f>
        <x:v>62500</x:v>
      </x:c>
      <x:c r="L263" s="22" t="n">
        <x:f>E263*3.5</x:f>
        <x:v>87500</x:v>
      </x:c>
      <x:c r="M263" s="22" t="n">
        <x:f>E263*4.5</x:f>
        <x:v>112500</x:v>
      </x:c>
      <x:c r="N263" s="22" t="n">
        <x:f>E263*5.5</x:f>
        <x:v>137500</x:v>
      </x:c>
      <x:c r="O263" s="22" t="n">
        <x:f>E263*7.5</x:f>
        <x:v>187500</x:v>
      </x:c>
      <x:c r="P263" s="22" t="n">
        <x:f>E263*9.5</x:f>
        <x:v>237500</x:v>
      </x:c>
      <x:c r="Q263" s="18" t="str">
        <x:v>Острова, горы и проливы</x:v>
      </x:c>
      <x:c r="R263" s="18" t="str">
        <x:v>Проектный профиль v1</x:v>
      </x:c>
      <x:c r="S263" s="18" t="str">
        <x:v>Экспертная классификация проекта</x:v>
      </x:c>
    </x:row>
    <x:row r="264">
      <x:c r="A264" s="18" t="str">
        <x:v>Юго-Восточная Австралия</x:v>
      </x:c>
      <x:c r="B264" s="18" t="str">
        <x:v>Австралия</x:v>
      </x:c>
      <x:c r="C264" s="18" t="str">
        <x:v>Океания</x:v>
      </x:c>
      <x:c r="D264" s="18" t="str">
        <x:v>P5</x:v>
      </x:c>
      <x:c r="E264" s="22" t="n">
        <x:v>9000</x:v>
      </x:c>
      <x:c r="F264" s="22" t="n">
        <x:v>1</x:v>
      </x:c>
      <x:c r="G264" s="22" t="n">
        <x:v>16</x:v>
      </x:c>
      <x:c r="H264" s="22" t="n">
        <x:v>0.85</x:v>
      </x:c>
      <x:c r="I264" s="22" t="n">
        <x:v>1.05</x:v>
      </x:c>
      <x:c r="J264" s="22" t="n">
        <x:f>E264*1.5</x:f>
        <x:v>13500</x:v>
      </x:c>
      <x:c r="K264" s="22" t="n">
        <x:f>E264*2.5</x:f>
        <x:v>22500</x:v>
      </x:c>
      <x:c r="L264" s="22" t="n">
        <x:f>E264*3.5</x:f>
        <x:v>31500</x:v>
      </x:c>
      <x:c r="M264" s="22" t="n">
        <x:f>E264*4.5</x:f>
        <x:v>40500</x:v>
      </x:c>
      <x:c r="N264" s="22" t="n">
        <x:f>E264*5.5</x:f>
        <x:v>49500</x:v>
      </x:c>
      <x:c r="O264" s="22" t="n">
        <x:f>E264*7.5</x:f>
        <x:v>67500</x:v>
      </x:c>
      <x:c r="P264" s="22" t="n">
        <x:f>E264*9.5</x:f>
        <x:v>85500</x:v>
      </x:c>
      <x:c r="Q264" s="18" t="str">
        <x:v>Наиболее освоенная часть континента</x:v>
      </x:c>
      <x:c r="R264" s="18" t="str">
        <x:v>Проектный профиль v1</x:v>
      </x:c>
      <x:c r="S264" s="18" t="str">
        <x:v>Экспертная классификация проекта</x:v>
      </x:c>
    </x:row>
    <x:row r="265">
      <x:c r="A265" s="18" t="str">
        <x:v>Восточное побережье Австралии</x:v>
      </x:c>
      <x:c r="B265" s="18" t="str">
        <x:v>Австралия</x:v>
      </x:c>
      <x:c r="C265" s="18" t="str">
        <x:v>Океания</x:v>
      </x:c>
      <x:c r="D265" s="18" t="str">
        <x:v>P5</x:v>
      </x:c>
      <x:c r="E265" s="22" t="n">
        <x:v>7000</x:v>
      </x:c>
      <x:c r="F265" s="22" t="n">
        <x:v>1</x:v>
      </x:c>
      <x:c r="G265" s="22" t="n">
        <x:v>16</x:v>
      </x:c>
      <x:c r="H265" s="22" t="n">
        <x:v>0.9</x:v>
      </x:c>
      <x:c r="I265" s="22" t="n">
        <x:v>1.15</x:v>
      </x:c>
      <x:c r="J265" s="22" t="n">
        <x:f>E265*1.5</x:f>
        <x:v>10500</x:v>
      </x:c>
      <x:c r="K265" s="22" t="n">
        <x:f>E265*2.5</x:f>
        <x:v>17500</x:v>
      </x:c>
      <x:c r="L265" s="22" t="n">
        <x:f>E265*3.5</x:f>
        <x:v>24500</x:v>
      </x:c>
      <x:c r="M265" s="22" t="n">
        <x:f>E265*4.5</x:f>
        <x:v>31500</x:v>
      </x:c>
      <x:c r="N265" s="22" t="n">
        <x:f>E265*5.5</x:f>
        <x:v>38500</x:v>
      </x:c>
      <x:c r="O265" s="22" t="n">
        <x:f>E265*7.5</x:f>
        <x:v>52500</x:v>
      </x:c>
      <x:c r="P265" s="22" t="n">
        <x:f>E265*9.5</x:f>
        <x:v>66500</x:v>
      </x:c>
      <x:c r="Q265" s="18" t="str">
        <x:v>Прибрежная сеть городов и горы</x:v>
      </x:c>
      <x:c r="R265" s="18" t="str">
        <x:v>Проектный профиль v1</x:v>
      </x:c>
      <x:c r="S265" s="18" t="str">
        <x:v>Экспертная классификация проекта</x:v>
      </x:c>
    </x:row>
    <x:row r="266">
      <x:c r="A266" s="18" t="str">
        <x:v>Юго-Западная Австралия</x:v>
      </x:c>
      <x:c r="B266" s="18" t="str">
        <x:v>Австралия</x:v>
      </x:c>
      <x:c r="C266" s="18" t="str">
        <x:v>Океания</x:v>
      </x:c>
      <x:c r="D266" s="18" t="str">
        <x:v>P6</x:v>
      </x:c>
      <x:c r="E266" s="22" t="n">
        <x:v>14000</x:v>
      </x:c>
      <x:c r="F266" s="22" t="n">
        <x:v>1</x:v>
      </x:c>
      <x:c r="G266" s="22" t="n">
        <x:v>14</x:v>
      </x:c>
      <x:c r="H266" s="22" t="n">
        <x:v>0.5</x:v>
      </x:c>
      <x:c r="I266" s="22" t="n">
        <x:v>1.05</x:v>
      </x:c>
      <x:c r="J266" s="22" t="n">
        <x:f>E266*1.5</x:f>
        <x:v>21000</x:v>
      </x:c>
      <x:c r="K266" s="22" t="n">
        <x:f>E266*2.5</x:f>
        <x:v>35000</x:v>
      </x:c>
      <x:c r="L266" s="22" t="n">
        <x:f>E266*3.5</x:f>
        <x:v>49000</x:v>
      </x:c>
      <x:c r="M266" s="22" t="n">
        <x:f>E266*4.5</x:f>
        <x:v>63000</x:v>
      </x:c>
      <x:c r="N266" s="22" t="n">
        <x:f>E266*5.5</x:f>
        <x:v>77000</x:v>
      </x:c>
      <x:c r="O266" s="22" t="n">
        <x:f>E266*7.5</x:f>
        <x:v>105000</x:v>
      </x:c>
      <x:c r="P266" s="22" t="n">
        <x:f>E266*9.5</x:f>
        <x:v>133000</x:v>
      </x:c>
      <x:c r="Q266" s="18" t="str">
        <x:v>Изолированное освоенное ядро</x:v>
      </x:c>
      <x:c r="R266" s="18" t="str">
        <x:v>Проектный профиль v1</x:v>
      </x:c>
      <x:c r="S266" s="18" t="str">
        <x:v>Экспертная классификация проекта</x:v>
      </x:c>
    </x:row>
    <x:row r="267">
      <x:c r="A267" s="18" t="str">
        <x:v>Внутренняя Австралия</x:v>
      </x:c>
      <x:c r="B267" s="18" t="str">
        <x:v>Австралия</x:v>
      </x:c>
      <x:c r="C267" s="18" t="str">
        <x:v>Океания</x:v>
      </x:c>
      <x:c r="D267" s="18" t="str">
        <x:v>P8</x:v>
      </x:c>
      <x:c r="E267" s="22" t="n">
        <x:v>120000</x:v>
      </x:c>
      <x:c r="F267" s="22" t="n">
        <x:v>1</x:v>
      </x:c>
      <x:c r="G267" s="22" t="n">
        <x:v>12</x:v>
      </x:c>
      <x:c r="H267" s="22" t="n">
        <x:v>0.05</x:v>
      </x:c>
      <x:c r="I267" s="22" t="n">
        <x:v>1</x:v>
      </x:c>
      <x:c r="J267" s="22" t="n">
        <x:f>E267*1.5</x:f>
        <x:v>180000</x:v>
      </x:c>
      <x:c r="K267" s="22" t="n">
        <x:f>E267*2.5</x:f>
        <x:v>300000</x:v>
      </x:c>
      <x:c r="L267" s="22" t="n">
        <x:f>E267*3.5</x:f>
        <x:v>420000</x:v>
      </x:c>
      <x:c r="M267" s="22" t="n">
        <x:f>E267*4.5</x:f>
        <x:v>540000</x:v>
      </x:c>
      <x:c r="N267" s="22" t="n">
        <x:f>E267*5.5</x:f>
        <x:v>660000</x:v>
      </x:c>
      <x:c r="O267" s="22" t="n">
        <x:f>E267*7.5</x:f>
        <x:v>900000</x:v>
      </x:c>
      <x:c r="P267" s="22" t="n">
        <x:f>E267*9.5</x:f>
        <x:v>1140000</x:v>
      </x:c>
      <x:c r="Q267" s="18" t="str">
        <x:v>Пустынная глубинка</x:v>
      </x:c>
      <x:c r="R267" s="18" t="str">
        <x:v>Проектный профиль v1</x:v>
      </x:c>
      <x:c r="S267" s="18" t="str">
        <x:v>Экспертная классификация проекта</x:v>
      </x:c>
    </x:row>
    <x:row r="268">
      <x:c r="A268" s="18" t="str">
        <x:v>Северная Австралия</x:v>
      </x:c>
      <x:c r="B268" s="18" t="str">
        <x:v>Австралия</x:v>
      </x:c>
      <x:c r="C268" s="18" t="str">
        <x:v>Океания</x:v>
      </x:c>
      <x:c r="D268" s="18" t="str">
        <x:v>P7</x:v>
      </x:c>
      <x:c r="E268" s="22" t="n">
        <x:v>35000</x:v>
      </x:c>
      <x:c r="F268" s="22" t="n">
        <x:v>1</x:v>
      </x:c>
      <x:c r="G268" s="22" t="n">
        <x:v>12</x:v>
      </x:c>
      <x:c r="H268" s="22" t="n">
        <x:v>0.15</x:v>
      </x:c>
      <x:c r="I268" s="22" t="n">
        <x:v>1.05</x:v>
      </x:c>
      <x:c r="J268" s="22" t="n">
        <x:f>E268*1.5</x:f>
        <x:v>52500</x:v>
      </x:c>
      <x:c r="K268" s="22" t="n">
        <x:f>E268*2.5</x:f>
        <x:v>87500</x:v>
      </x:c>
      <x:c r="L268" s="22" t="n">
        <x:f>E268*3.5</x:f>
        <x:v>122500</x:v>
      </x:c>
      <x:c r="M268" s="22" t="n">
        <x:f>E268*4.5</x:f>
        <x:v>157500</x:v>
      </x:c>
      <x:c r="N268" s="22" t="n">
        <x:f>E268*5.5</x:f>
        <x:v>192500</x:v>
      </x:c>
      <x:c r="O268" s="22" t="n">
        <x:f>E268*7.5</x:f>
        <x:v>262500</x:v>
      </x:c>
      <x:c r="P268" s="22" t="n">
        <x:f>E268*9.5</x:f>
        <x:v>332500</x:v>
      </x:c>
      <x:c r="Q268" s="18" t="str">
        <x:v>Редкое население и тропические пространства</x:v>
      </x:c>
      <x:c r="R268" s="18" t="str">
        <x:v>Проектный профиль v1</x:v>
      </x:c>
      <x:c r="S268" s="18" t="str">
        <x:v>Экспертная классификация проекта</x:v>
      </x:c>
    </x:row>
    <x:row r="269">
      <x:c r="A269" s="18" t="str">
        <x:v>Тасмания</x:v>
      </x:c>
      <x:c r="B269" s="18" t="str">
        <x:v>Австралия</x:v>
      </x:c>
      <x:c r="C269" s="18" t="str">
        <x:v>Океания</x:v>
      </x:c>
      <x:c r="D269" s="18" t="str">
        <x:v>P5</x:v>
      </x:c>
      <x:c r="E269" s="22" t="n">
        <x:v>7000</x:v>
      </x:c>
      <x:c r="F269" s="22" t="n">
        <x:v>1</x:v>
      </x:c>
      <x:c r="G269" s="22" t="n">
        <x:v>10</x:v>
      </x:c>
      <x:c r="H269" s="22" t="n">
        <x:v>0.65</x:v>
      </x:c>
      <x:c r="I269" s="22" t="n">
        <x:v>1.25</x:v>
      </x:c>
      <x:c r="J269" s="22" t="n">
        <x:f>E269*1.5</x:f>
        <x:v>10500</x:v>
      </x:c>
      <x:c r="K269" s="22" t="n">
        <x:f>E269*2.5</x:f>
        <x:v>17500</x:v>
      </x:c>
      <x:c r="L269" s="22" t="n">
        <x:f>E269*3.5</x:f>
        <x:v>24500</x:v>
      </x:c>
      <x:c r="M269" s="22" t="n">
        <x:f>E269*4.5</x:f>
        <x:v>31500</x:v>
      </x:c>
      <x:c r="N269" s="22" t="n">
        <x:f>E269*5.5</x:f>
        <x:v>38500</x:v>
      </x:c>
      <x:c r="O269" s="22" t="n">
        <x:f>E269*7.5</x:f>
        <x:v>52500</x:v>
      </x:c>
      <x:c r="P269" s="22" t="n">
        <x:f>E269*9.5</x:f>
        <x:v>66500</x:v>
      </x:c>
      <x:c r="Q269" s="18" t="str">
        <x:v>Остров, горы и побережье</x:v>
      </x:c>
      <x:c r="R269" s="18" t="str">
        <x:v>Проектный профиль v1</x:v>
      </x:c>
      <x:c r="S269" s="18" t="str">
        <x:v>Экспертная классификация проекта</x:v>
      </x:c>
    </x:row>
    <x:row r="270">
      <x:c r="A270" s="18" t="str">
        <x:v>Северный остров Новой Зеландии</x:v>
      </x:c>
      <x:c r="B270" s="18" t="str">
        <x:v>Новая Зеландия</x:v>
      </x:c>
      <x:c r="C270" s="18" t="str">
        <x:v>Океания</x:v>
      </x:c>
      <x:c r="D270" s="18" t="str">
        <x:v>P4</x:v>
      </x:c>
      <x:c r="E270" s="22" t="n">
        <x:v>4500</x:v>
      </x:c>
      <x:c r="F270" s="22" t="n">
        <x:v>1</x:v>
      </x:c>
      <x:c r="G270" s="22" t="n">
        <x:v>14</x:v>
      </x:c>
      <x:c r="H270" s="22" t="n">
        <x:v>1</x:v>
      </x:c>
      <x:c r="I270" s="22" t="n">
        <x:v>1.2</x:v>
      </x:c>
      <x:c r="J270" s="22" t="n">
        <x:f>E270*1.5</x:f>
        <x:v>6750</x:v>
      </x:c>
      <x:c r="K270" s="22" t="n">
        <x:f>E270*2.5</x:f>
        <x:v>11250</x:v>
      </x:c>
      <x:c r="L270" s="22" t="n">
        <x:f>E270*3.5</x:f>
        <x:v>15750</x:v>
      </x:c>
      <x:c r="M270" s="22" t="n">
        <x:f>E270*4.5</x:f>
        <x:v>20250</x:v>
      </x:c>
      <x:c r="N270" s="22" t="n">
        <x:f>E270*5.5</x:f>
        <x:v>24750</x:v>
      </x:c>
      <x:c r="O270" s="22" t="n">
        <x:f>E270*7.5</x:f>
        <x:v>33750</x:v>
      </x:c>
      <x:c r="P270" s="22" t="n">
        <x:f>E270*9.5</x:f>
        <x:v>42750</x:v>
      </x:c>
      <x:c r="Q270" s="18" t="str">
        <x:v>Плотнее и городски насыщеннее</x:v>
      </x:c>
      <x:c r="R270" s="18" t="str">
        <x:v>Проектный профиль v1</x:v>
      </x:c>
      <x:c r="S270" s="18" t="str">
        <x:v>Экспертная классификация проекта</x:v>
      </x:c>
    </x:row>
    <x:row r="271">
      <x:c r="A271" s="18" t="str">
        <x:v>Южный остров Новой Зеландии</x:v>
      </x:c>
      <x:c r="B271" s="18" t="str">
        <x:v>Новая Зеландия</x:v>
      </x:c>
      <x:c r="C271" s="18" t="str">
        <x:v>Океания</x:v>
      </x:c>
      <x:c r="D271" s="18" t="str">
        <x:v>P5</x:v>
      </x:c>
      <x:c r="E271" s="22" t="n">
        <x:v>7500</x:v>
      </x:c>
      <x:c r="F271" s="22" t="n">
        <x:v>1</x:v>
      </x:c>
      <x:c r="G271" s="22" t="n">
        <x:v>12</x:v>
      </x:c>
      <x:c r="H271" s="22" t="n">
        <x:v>0.55</x:v>
      </x:c>
      <x:c r="I271" s="22" t="n">
        <x:v>1.3</x:v>
      </x:c>
      <x:c r="J271" s="22" t="n">
        <x:f>E271*1.5</x:f>
        <x:v>11250</x:v>
      </x:c>
      <x:c r="K271" s="22" t="n">
        <x:f>E271*2.5</x:f>
        <x:v>18750</x:v>
      </x:c>
      <x:c r="L271" s="22" t="n">
        <x:f>E271*3.5</x:f>
        <x:v>26250</x:v>
      </x:c>
      <x:c r="M271" s="22" t="n">
        <x:f>E271*4.5</x:f>
        <x:v>33750</x:v>
      </x:c>
      <x:c r="N271" s="22" t="n">
        <x:f>E271*5.5</x:f>
        <x:v>41250</x:v>
      </x:c>
      <x:c r="O271" s="22" t="n">
        <x:f>E271*7.5</x:f>
        <x:v>56250</x:v>
      </x:c>
      <x:c r="P271" s="22" t="n">
        <x:f>E271*9.5</x:f>
        <x:v>71250</x:v>
      </x:c>
      <x:c r="Q271" s="18" t="str">
        <x:v>Горы и редкая сеть</x:v>
      </x:c>
      <x:c r="R271" s="18" t="str">
        <x:v>Проектный профиль v1</x:v>
      </x:c>
      <x:c r="S271" s="18" t="str">
        <x:v>Экспертная классификация проекта</x:v>
      </x:c>
    </x:row>
    <x:row r="272">
      <x:c r="A272" s="18" t="str">
        <x:v>Высокогорья Новой Гвинеи</x:v>
      </x:c>
      <x:c r="B272" s="18" t="str">
        <x:v>Меланезия</x:v>
      </x:c>
      <x:c r="C272" s="18" t="str">
        <x:v>Океания</x:v>
      </x:c>
      <x:c r="D272" s="18" t="str">
        <x:v>P5</x:v>
      </x:c>
      <x:c r="E272" s="22" t="n">
        <x:v>9000</x:v>
      </x:c>
      <x:c r="F272" s="22" t="n">
        <x:v>1</x:v>
      </x:c>
      <x:c r="G272" s="22" t="n">
        <x:v>14</x:v>
      </x:c>
      <x:c r="H272" s="22" t="n">
        <x:v>0.65</x:v>
      </x:c>
      <x:c r="I272" s="22" t="n">
        <x:v>1.35</x:v>
      </x:c>
      <x:c r="J272" s="22" t="n">
        <x:f>E272*1.5</x:f>
        <x:v>13500</x:v>
      </x:c>
      <x:c r="K272" s="22" t="n">
        <x:f>E272*2.5</x:f>
        <x:v>22500</x:v>
      </x:c>
      <x:c r="L272" s="22" t="n">
        <x:f>E272*3.5</x:f>
        <x:v>31500</x:v>
      </x:c>
      <x:c r="M272" s="22" t="n">
        <x:f>E272*4.5</x:f>
        <x:v>40500</x:v>
      </x:c>
      <x:c r="N272" s="22" t="n">
        <x:f>E272*5.5</x:f>
        <x:v>49500</x:v>
      </x:c>
      <x:c r="O272" s="22" t="n">
        <x:f>E272*7.5</x:f>
        <x:v>67500</x:v>
      </x:c>
      <x:c r="P272" s="22" t="n">
        <x:f>E272*9.5</x:f>
        <x:v>85500</x:v>
      </x:c>
      <x:c r="Q272" s="18" t="str">
        <x:v>Горные долины и изоляция</x:v>
      </x:c>
      <x:c r="R272" s="18" t="str">
        <x:v>Проектный профиль v1</x:v>
      </x:c>
      <x:c r="S272" s="18" t="str">
        <x:v>Экспертная классификация проекта</x:v>
      </x:c>
    </x:row>
    <x:row r="273">
      <x:c r="A273" s="18" t="str">
        <x:v>Побережье Новой Гвинеи</x:v>
      </x:c>
      <x:c r="B273" s="18" t="str">
        <x:v>Меланезия</x:v>
      </x:c>
      <x:c r="C273" s="18" t="str">
        <x:v>Океания</x:v>
      </x:c>
      <x:c r="D273" s="18" t="str">
        <x:v>P6</x:v>
      </x:c>
      <x:c r="E273" s="22" t="n">
        <x:v>14000</x:v>
      </x:c>
      <x:c r="F273" s="22" t="n">
        <x:v>1</x:v>
      </x:c>
      <x:c r="G273" s="22" t="n">
        <x:v>12</x:v>
      </x:c>
      <x:c r="H273" s="22" t="n">
        <x:v>0.45</x:v>
      </x:c>
      <x:c r="I273" s="22" t="n">
        <x:v>1.25</x:v>
      </x:c>
      <x:c r="J273" s="22" t="n">
        <x:f>E273*1.5</x:f>
        <x:v>21000</x:v>
      </x:c>
      <x:c r="K273" s="22" t="n">
        <x:f>E273*2.5</x:f>
        <x:v>35000</x:v>
      </x:c>
      <x:c r="L273" s="22" t="n">
        <x:f>E273*3.5</x:f>
        <x:v>49000</x:v>
      </x:c>
      <x:c r="M273" s="22" t="n">
        <x:f>E273*4.5</x:f>
        <x:v>63000</x:v>
      </x:c>
      <x:c r="N273" s="22" t="n">
        <x:f>E273*5.5</x:f>
        <x:v>77000</x:v>
      </x:c>
      <x:c r="O273" s="22" t="n">
        <x:f>E273*7.5</x:f>
        <x:v>105000</x:v>
      </x:c>
      <x:c r="P273" s="22" t="n">
        <x:f>E273*9.5</x:f>
        <x:v>133000</x:v>
      </x:c>
      <x:c r="Q273" s="18" t="str">
        <x:v>Леса, болота и локальные порты</x:v>
      </x:c>
      <x:c r="R273" s="18" t="str">
        <x:v>Проектный профиль v1</x:v>
      </x:c>
      <x:c r="S273" s="18" t="str">
        <x:v>Экспертная классификация проекта</x:v>
      </x:c>
    </x:row>
    <x:row r="274">
      <x:c r="A274" s="18" t="str">
        <x:v>Меланезийские острова</x:v>
      </x:c>
      <x:c r="B274" s="18" t="str">
        <x:v>Островная Океания</x:v>
      </x:c>
      <x:c r="C274" s="18" t="str">
        <x:v>Океания</x:v>
      </x:c>
      <x:c r="D274" s="18" t="str">
        <x:v>P3</x:v>
      </x:c>
      <x:c r="E274" s="22" t="n">
        <x:v>2200</x:v>
      </x:c>
      <x:c r="F274" s="22" t="n">
        <x:v>1</x:v>
      </x:c>
      <x:c r="G274" s="22" t="n">
        <x:v>10</x:v>
      </x:c>
      <x:c r="H274" s="22" t="n">
        <x:v>0.8</x:v>
      </x:c>
      <x:c r="I274" s="22" t="n">
        <x:v>1.45</x:v>
      </x:c>
      <x:c r="J274" s="22" t="n">
        <x:f>E274*1.5</x:f>
        <x:v>3300</x:v>
      </x:c>
      <x:c r="K274" s="22" t="n">
        <x:f>E274*2.5</x:f>
        <x:v>5500</x:v>
      </x:c>
      <x:c r="L274" s="22" t="n">
        <x:f>E274*3.5</x:f>
        <x:v>7700</x:v>
      </x:c>
      <x:c r="M274" s="22" t="n">
        <x:f>E274*4.5</x:f>
        <x:v>9900</x:v>
      </x:c>
      <x:c r="N274" s="22" t="n">
        <x:f>E274*5.5</x:f>
        <x:v>12100</x:v>
      </x:c>
      <x:c r="O274" s="22" t="n">
        <x:f>E274*7.5</x:f>
        <x:v>16500</x:v>
      </x:c>
      <x:c r="P274" s="22" t="n">
        <x:f>E274*9.5</x:f>
        <x:v>20900</x:v>
      </x:c>
      <x:c r="Q274" s="18" t="str">
        <x:v>Островная геометрия и горы</x:v>
      </x:c>
      <x:c r="R274" s="18" t="str">
        <x:v>Проектный профиль v1</x:v>
      </x:c>
      <x:c r="S274" s="18" t="str">
        <x:v>Экспертная классификация проекта</x:v>
      </x:c>
    </x:row>
    <x:row r="275">
      <x:c r="A275" s="18" t="str">
        <x:v>Полинезийские острова</x:v>
      </x:c>
      <x:c r="B275" s="18" t="str">
        <x:v>Островная Океания</x:v>
      </x:c>
      <x:c r="C275" s="18" t="str">
        <x:v>Океания</x:v>
      </x:c>
      <x:c r="D275" s="18" t="str">
        <x:v>P1</x:v>
      </x:c>
      <x:c r="E275" s="22" t="n">
        <x:v>500</x:v>
      </x:c>
      <x:c r="F275" s="22" t="n">
        <x:v>1</x:v>
      </x:c>
      <x:c r="G275" s="22" t="n">
        <x:v>6</x:v>
      </x:c>
      <x:c r="H275" s="22" t="n">
        <x:v>0.8</x:v>
      </x:c>
      <x:c r="I275" s="22" t="n">
        <x:v>1.5</x:v>
      </x:c>
      <x:c r="J275" s="22" t="n">
        <x:f>E275*1.5</x:f>
        <x:v>750</x:v>
      </x:c>
      <x:c r="K275" s="22" t="n">
        <x:f>E275*2.5</x:f>
        <x:v>1250</x:v>
      </x:c>
      <x:c r="L275" s="22" t="n">
        <x:f>E275*3.5</x:f>
        <x:v>1750</x:v>
      </x:c>
      <x:c r="M275" s="22" t="n">
        <x:f>E275*4.5</x:f>
        <x:v>2250</x:v>
      </x:c>
      <x:c r="N275" s="22" t="n">
        <x:f>E275*5.5</x:f>
        <x:v>2750</x:v>
      </x:c>
      <x:c r="O275" s="22" t="n">
        <x:f>E275*7.5</x:f>
        <x:v>3750</x:v>
      </x:c>
      <x:c r="P275" s="22" t="n">
        <x:f>E275*9.5</x:f>
        <x:v>4750</x:v>
      </x:c>
      <x:c r="Q275" s="18" t="str">
        <x:v>Остров обычно не режется без причины</x:v>
      </x:c>
      <x:c r="R275" s="18" t="str">
        <x:v>Проектный профиль v1</x:v>
      </x:c>
      <x:c r="S275" s="18" t="str">
        <x:v>Экспертная классификация проекта</x:v>
      </x:c>
    </x:row>
    <x:row r="276">
      <x:c r="A276" s="18" t="str">
        <x:v>Микронезийские острова</x:v>
      </x:c>
      <x:c r="B276" s="18" t="str">
        <x:v>Островная Океания</x:v>
      </x:c>
      <x:c r="C276" s="18" t="str">
        <x:v>Океания</x:v>
      </x:c>
      <x:c r="D276" s="18" t="str">
        <x:v>P1</x:v>
      </x:c>
      <x:c r="E276" s="22" t="n">
        <x:v>400</x:v>
      </x:c>
      <x:c r="F276" s="22" t="n">
        <x:v>1</x:v>
      </x:c>
      <x:c r="G276" s="22" t="n">
        <x:v>5</x:v>
      </x:c>
      <x:c r="H276" s="22" t="n">
        <x:v>0.7</x:v>
      </x:c>
      <x:c r="I276" s="22" t="n">
        <x:v>1.5</x:v>
      </x:c>
      <x:c r="J276" s="22" t="n">
        <x:f>E276*1.5</x:f>
        <x:v>600</x:v>
      </x:c>
      <x:c r="K276" s="22" t="n">
        <x:f>E276*2.5</x:f>
        <x:v>1000</x:v>
      </x:c>
      <x:c r="L276" s="22" t="n">
        <x:f>E276*3.5</x:f>
        <x:v>1400</x:v>
      </x:c>
      <x:c r="M276" s="22" t="n">
        <x:f>E276*4.5</x:f>
        <x:v>1800</x:v>
      </x:c>
      <x:c r="N276" s="22" t="n">
        <x:f>E276*5.5</x:f>
        <x:v>2200</x:v>
      </x:c>
      <x:c r="O276" s="22" t="n">
        <x:f>E276*7.5</x:f>
        <x:v>3000</x:v>
      </x:c>
      <x:c r="P276" s="22" t="n">
        <x:f>E276*9.5</x:f>
        <x:v>3800</x:v>
      </x:c>
      <x:c r="Q276" s="18" t="str">
        <x:v>Малые острова и атоллы</x:v>
      </x:c>
      <x:c r="R276" s="18" t="str">
        <x:v>Проектный профиль v1</x:v>
      </x:c>
      <x:c r="S276" s="18" t="str">
        <x:v>Экспертная классификация проекта</x:v>
      </x:c>
    </x:row>
  </x:sheetData>
  <x:mergeCells>
    <x:mergeCell ref="A1:S1"/>
  </x:mergeCells>
  <x:conditionalFormatting sqref="E4:E276">
    <x:cfRule type="colorScale" priority="1">
      <x:colorScale>
        <x:cfvo type="min"/>
        <x:cfvo type="percentile" val="50"/>
        <x:cfvo type="max"/>
        <x:color rgb="FFE8F5E9"/>
        <x:color rgb="FFFFF3E0"/>
        <x:color rgb="FFFFCDD2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12" hidden="0" customWidth="1"/>
    <x:col min="4" max="4" width="12" hidden="0" customWidth="1"/>
    <x:col min="5" max="5" width="44" hidden="0" customWidth="1"/>
    <x:col min="6" max="6" width="55" hidden="0" customWidth="1"/>
    <x:col min="7" max="7" width="20" hidden="0" customWidth="1"/>
    <x:col min="8" max="8" width="12" hidden="0" customWidth="1"/>
  </x:cols>
  <x:sheetData>
    <x:row r="1">
      <x:c r="A1" s="4" t="str">
        <x:v>Формула определения числа клеток в провинции</x:v>
      </x:c>
      <x:c r="B1" s="4"/>
      <x:c r="C1" s="4"/>
      <x:c r="D1" s="4"/>
      <x:c r="E1" s="4"/>
      <x:c r="F1" s="4"/>
    </x:row>
    <x:row r="3">
      <x:c r="A3" s="12" t="str">
        <x:v>Элемент</x:v>
      </x:c>
      <x:c r="B3" s="12" t="str">
        <x:v>Формула / значение</x:v>
      </x:c>
      <x:c r="C3" s="12" t="str">
        <x:v>Минимум</x:v>
      </x:c>
      <x:c r="D3" s="12" t="str">
        <x:v>Максимум</x:v>
      </x:c>
      <x:c r="E3" s="12" t="str">
        <x:v>Назначение</x:v>
      </x:c>
      <x:c r="F3" s="12" t="str">
        <x:v>Комментарий</x:v>
      </x:c>
    </x:row>
    <x:row r="4">
      <x:c r="A4" s="18" t="str">
        <x:v>Базовое число</x:v>
      </x:c>
      <x:c r="B4" s="18" t="str">
        <x:v>A / T_region</x:v>
      </x:c>
      <x:c r="C4" s="18" t="str"/>
      <x:c r="D4" s="18" t="str"/>
      <x:c r="E4" s="18" t="str">
        <x:v>Площадь провинции / целевая площадь региона</x:v>
      </x:c>
      <x:c r="F4" s="18" t="str">
        <x:v>Историческая плотность уже учтена в T_region</x:v>
      </x:c>
    </x:row>
    <x:row r="5">
      <x:c r="A5" s="18" t="str">
        <x:v>Локальная сложность</x:v>
      </x:c>
      <x:c r="B5" s="18" t="str">
        <x:v>coast × relief × shape</x:v>
      </x:c>
      <x:c r="C5" s="18" t="n">
        <x:v>0.85</x:v>
      </x:c>
      <x:c r="D5" s="18" t="n">
        <x:v>1.35</x:v>
      </x:c>
      <x:c r="E5" s="18" t="str">
        <x:v>География конкретной провинции</x:v>
      </x:c>
      <x:c r="F5" s="18" t="str">
        <x:v>Жёсткий cap предотвращает взрыв числа клеток</x:v>
      </x:c>
    </x:row>
    <x:row r="6">
      <x:c r="A6" s="18" t="str">
        <x:v>Число по площади</x:v>
      </x:c>
      <x:c r="B6" s="18" t="str">
        <x:v>ROUND(A / T × complexity)</x:v>
      </x:c>
      <x:c r="C6" s="18" t="n">
        <x:v>1</x:v>
      </x:c>
      <x:c r="D6" s="18" t="str"/>
      <x:c r="E6" s="18" t="str">
        <x:v>Основной расчёт</x:v>
      </x:c>
      <x:c r="F6" s="18" t="str">
        <x:v>Округление до ближайшего целого</x:v>
      </x:c>
    </x:row>
    <x:row r="7">
      <x:c r="A7" s="18" t="str">
        <x:v>Якорный минимум</x:v>
      </x:c>
      <x:c r="B7" s="18" t="str">
        <x:v>MAX(city anchors, geography anchors)</x:v>
      </x:c>
      <x:c r="C7" s="18" t="n">
        <x:v>1</x:v>
      </x:c>
      <x:c r="D7" s="18" t="str"/>
      <x:c r="E7" s="18" t="str">
        <x:v>Город, полуостров, отдельная долина</x:v>
      </x:c>
      <x:c r="F7" s="18" t="str">
        <x:v>Метрополия может иметь минимум 4</x:v>
      </x:c>
    </x:row>
    <x:row r="8">
      <x:c r="A8" s="18" t="str">
        <x:v>Финал</x:v>
      </x:c>
      <x:c r="B8" s="18" t="str">
        <x:v>CLAMP(MAX(area_count, anchor_min), region.min, region.max)</x:v>
      </x:c>
      <x:c r="C8" s="18" t="str"/>
      <x:c r="D8" s="18" t="str"/>
      <x:c r="E8" s="18" t="str">
        <x:v>Окончательное число</x:v>
      </x:c>
      <x:c r="F8" s="18" t="str">
        <x:v>Ручной override только для редких исключений</x:v>
      </x:c>
    </x:row>
    <x:row r="9">
      <x:c r="A9" s="18" t="str">
        <x:v>Порог для N клеток</x:v>
      </x:c>
      <x:c r="B9" s="18" t="str">
        <x:v>(N - 0.5) × T_region</x:v>
      </x:c>
      <x:c r="C9" s="18" t="str"/>
      <x:c r="D9" s="18" t="str"/>
      <x:c r="E9" s="18" t="str">
        <x:v>Автоматически строит диапазоны</x:v>
      </x:c>
      <x:c r="F9" s="18" t="str">
        <x:v>Не нужно вручную писать интервалы каждому региону</x:v>
      </x:c>
    </x:row>
    <x:row r="12">
      <x:c r="A12" s="30" t="str">
        <x:v>Пример: регион Галисия</x:v>
      </x:c>
      <x:c r="B12" s="30"/>
      <x:c r="C12" s="30"/>
      <x:c r="D12" s="30"/>
      <x:c r="E12" s="30"/>
      <x:c r="F12" s="30"/>
      <x:c r="G12" s="30"/>
      <x:c r="H12" s="30"/>
    </x:row>
    <x:row r="14">
      <x:c r="A14" s="12" t="str">
        <x:v>Target, км²</x:v>
      </x:c>
      <x:c r="B14" s="12" t="str">
        <x:v>Площадь провинции, км²</x:v>
      </x:c>
      <x:c r="C14" s="12" t="str">
        <x:v>Берег</x:v>
      </x:c>
      <x:c r="D14" s="12" t="str">
        <x:v>Рельеф</x:v>
      </x:c>
      <x:c r="E14" s="12" t="str">
        <x:v>Форма</x:v>
      </x:c>
      <x:c r="F14" s="12" t="str">
        <x:v>Итоговая сложность</x:v>
      </x:c>
      <x:c r="G14" s="12" t="str">
        <x:v>Число по площади</x:v>
      </x:c>
      <x:c r="H14" s="12" t="str">
        <x:v>Финал</x:v>
      </x:c>
    </x:row>
    <x:row r="15">
      <x:c r="A15" s="20" t="n">
        <x:v>2100</x:v>
      </x:c>
      <x:c r="B15" s="20" t="n">
        <x:v>7950</x:v>
      </x:c>
      <x:c r="C15" s="24" t="n">
        <x:v>1</x:v>
      </x:c>
      <x:c r="D15" s="24" t="n">
        <x:v>1</x:v>
      </x:c>
      <x:c r="E15" s="24" t="n">
        <x:v>1</x:v>
      </x:c>
      <x:c r="F15" s="24" t="n">
        <x:f>MIN(1.35,MAX(0.85,C15*D15*E15))</x:f>
        <x:v>1</x:v>
      </x:c>
      <x:c r="G15" s="34" t="n">
        <x:f>ROUND(B15/A15*F15,0)</x:f>
        <x:v>4</x:v>
      </x:c>
      <x:c r="H15" s="34" t="n">
        <x:f>MAX(1,MIN(10,G15))</x:f>
        <x:v>4</x:v>
      </x:c>
    </x:row>
  </x:sheetData>
  <x:mergeCells>
    <x:mergeCell ref="A1:F1"/>
    <x:mergeCell ref="A12:H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4" hidden="0" customWidth="1"/>
    <x:col min="4" max="4" width="32" hidden="0" customWidth="1"/>
    <x:col min="5" max="5" width="28" hidden="0" customWidth="1"/>
    <x:col min="6" max="6" width="12" hidden="0" customWidth="1"/>
    <x:col min="7" max="7" width="10" hidden="0" customWidth="1"/>
    <x:col min="8" max="8" width="18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6" hidden="0" customWidth="1"/>
    <x:col min="17" max="17" width="22" hidden="0" customWidth="1"/>
    <x:col min="18" max="18" width="44" hidden="0" customWidth="1"/>
  </x:cols>
  <x:sheetData>
    <x:row r="1">
      <x:c r="A1" s="4" t="str">
        <x:v>Шаблон автоматически генерируемой таблицы всех провинций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3">
      <x:c r="A3" s="12" t="str">
        <x:v>province_id</x:v>
      </x:c>
      <x:c r="B3" s="12" t="str">
        <x:v>legacy_id</x:v>
      </x:c>
      <x:c r="C3" s="12" t="str">
        <x:v>Название</x:v>
      </x:c>
      <x:c r="D3" s="12" t="str">
        <x:v>region_id</x:v>
      </x:c>
      <x:c r="E3" s="12" t="str">
        <x:v>macroregion_id</x:v>
      </x:c>
      <x:c r="F3" s="12" t="str">
        <x:v>area_km2</x:v>
      </x:c>
      <x:c r="G3" s="12" t="str">
        <x:v>profile_id</x:v>
      </x:c>
      <x:c r="H3" s="12" t="str">
        <x:v>target_cell_area_km2</x:v>
      </x:c>
      <x:c r="I3" s="12" t="str">
        <x:v>coast_factor</x:v>
      </x:c>
      <x:c r="J3" s="12" t="str">
        <x:v>relief_factor</x:v>
      </x:c>
      <x:c r="K3" s="12" t="str">
        <x:v>shape_factor</x:v>
      </x:c>
      <x:c r="L3" s="12" t="str">
        <x:v>complexity</x:v>
      </x:c>
      <x:c r="M3" s="12" t="str">
        <x:v>area_count</x:v>
      </x:c>
      <x:c r="N3" s="12" t="str">
        <x:v>anchor_min</x:v>
      </x:c>
      <x:c r="O3" s="12" t="str">
        <x:v>final_count</x:v>
      </x:c>
      <x:c r="P3" s="12" t="str">
        <x:v>override</x:v>
      </x:c>
      <x:c r="Q3" s="12" t="str">
        <x:v>validation</x:v>
      </x:c>
      <x:c r="R3" s="12" t="str">
        <x:v>Комментарий</x:v>
      </x:c>
    </x:row>
    <x:row r="4">
      <x:c r="A4" s="18" t="str">
        <x:v>province:…</x:v>
      </x:c>
      <x:c r="B4" s="18" t="str">
        <x:v>spain__la_coruna</x:v>
      </x:c>
      <x:c r="C4" s="18" t="str">
        <x:v>La Coruña</x:v>
      </x:c>
      <x:c r="D4" s="18" t="str">
        <x:v>region:iberia:galicia</x:v>
      </x:c>
      <x:c r="E4" s="18" t="str">
        <x:v>macroregion:iberia</x:v>
      </x:c>
      <x:c r="F4" s="38" t="n">
        <x:v>7950</x:v>
      </x:c>
      <x:c r="G4" s="38" t="str">
        <x:v>P3</x:v>
      </x:c>
      <x:c r="H4" s="38" t="n">
        <x:v>2100</x:v>
      </x:c>
      <x:c r="I4" s="38" t="n">
        <x:v>1</x:v>
      </x:c>
      <x:c r="J4" s="38" t="n">
        <x:v>1</x:v>
      </x:c>
      <x:c r="K4" s="38" t="n">
        <x:v>1</x:v>
      </x:c>
      <x:c r="L4" s="38" t="n">
        <x:f>MIN(1.35,MAX(0.85,I4*J4*K4))</x:f>
        <x:v>1</x:v>
      </x:c>
      <x:c r="M4" s="38" t="n">
        <x:f>ROUND(F4/H4*L4,0)</x:f>
        <x:v>4</x:v>
      </x:c>
      <x:c r="N4" s="38" t="n">
        <x:v>1</x:v>
      </x:c>
      <x:c r="O4" s="38" t="n">
        <x:f>MAX(N4,M4)</x:f>
        <x:v>4</x:v>
      </x:c>
      <x:c r="P4" s="18" t="str"/>
      <x:c r="Q4" s="18" t="str">
        <x:v>Ожидается OK</x:v>
      </x:c>
      <x:c r="R4" s="18" t="str">
        <x:v>Демонстрация базовой формулы</x:v>
      </x:c>
    </x:row>
    <x:row r="5">
      <x:c r="A5" s="18" t="str">
        <x:v>province:…</x:v>
      </x:c>
      <x:c r="B5" s="18" t="str">
        <x:v>united_kingdom__greater_london</x:v>
      </x:c>
      <x:c r="C5" s="18" t="str">
        <x:v>Большой Лондон</x:v>
      </x:c>
      <x:c r="D5" s="18" t="str">
        <x:v>region:british_isles:greater_london</x:v>
      </x:c>
      <x:c r="E5" s="18" t="str">
        <x:v>macroregion:british_isles</x:v>
      </x:c>
      <x:c r="F5" s="38" t="n">
        <x:v>1570</x:v>
      </x:c>
      <x:c r="G5" s="38" t="str">
        <x:v>P0</x:v>
      </x:c>
      <x:c r="H5" s="38" t="n">
        <x:v>500</x:v>
      </x:c>
      <x:c r="I5" s="38" t="n">
        <x:v>1</x:v>
      </x:c>
      <x:c r="J5" s="38" t="n">
        <x:v>1</x:v>
      </x:c>
      <x:c r="K5" s="38" t="n">
        <x:v>1</x:v>
      </x:c>
      <x:c r="L5" s="38" t="n">
        <x:f>MIN(1.35,MAX(0.85,I5*J5*K5))</x:f>
        <x:v>1</x:v>
      </x:c>
      <x:c r="M5" s="38" t="n">
        <x:f>ROUND(F5/H5*L5,0)</x:f>
        <x:v>3</x:v>
      </x:c>
      <x:c r="N5" s="38" t="n">
        <x:v>4</x:v>
      </x:c>
      <x:c r="O5" s="38" t="n">
        <x:f>MAX(N5,M5)</x:f>
        <x:v>4</x:v>
      </x:c>
      <x:c r="P5" s="18" t="str">
        <x:v>min=4</x:v>
      </x:c>
      <x:c r="Q5" s="18" t="str">
        <x:v>Метропольный override</x:v>
      </x:c>
      <x:c r="R5" s="18" t="str">
        <x:v>Малая площадь, но несколько городских клеток</x:v>
      </x:c>
    </x:row>
  </x:sheetData>
  <x:mergeCells>
    <x:mergeCell ref="A1:R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5" hidden="0" customWidth="1"/>
    <x:col min="3" max="3" width="42" hidden="0" customWidth="1"/>
    <x:col min="4" max="4" width="15" hidden="0" customWidth="1"/>
    <x:col min="5" max="5" width="48" hidden="0" customWidth="1"/>
    <x:col min="6" max="6" width="50" hidden="0" customWidth="1"/>
  </x:cols>
  <x:sheetData>
    <x:row r="1">
      <x:c r="A1" s="4" t="str">
        <x:v>Пошаговый план разработки системы клеток</x:v>
      </x:c>
      <x:c r="B1" s="4"/>
      <x:c r="C1" s="4"/>
      <x:c r="D1" s="4"/>
      <x:c r="E1" s="4"/>
      <x:c r="F1" s="4"/>
    </x:row>
    <x:row r="3">
      <x:c r="A3" s="12" t="str">
        <x:v>Этап</x:v>
      </x:c>
      <x:c r="B3" s="12" t="str">
        <x:v>Задача</x:v>
      </x:c>
      <x:c r="C3" s="12" t="str">
        <x:v>Результат</x:v>
      </x:c>
      <x:c r="D3" s="12" t="str">
        <x:v>Приоритет</x:v>
      </x:c>
      <x:c r="E3" s="12" t="str">
        <x:v>Проверка</x:v>
      </x:c>
      <x:c r="F3" s="12" t="str">
        <x:v>Файлы</x:v>
      </x:c>
    </x:row>
    <x:row r="4">
      <x:c r="A4" s="18" t="n">
        <x:v>1</x:v>
      </x:c>
      <x:c r="B4" s="18" t="str">
        <x:v>Добавить area_km2 после _remove_overlaps</x:v>
      </x:c>
      <x:c r="C4" s="18" t="str">
        <x:v>Точная площадь финальной геометрии каждой провинции</x:v>
      </x:c>
      <x:c r="D4" s="18" t="str">
        <x:v>Критический</x:v>
      </x:c>
      <x:c r="E4" s="18" t="str">
        <x:v>Сумма площадей, дырки, перекрытия</x:v>
      </x:c>
      <x:c r="F4" s="18" t="str">
        <x:v>build_provinces.py; map_geometry/provinces.json</x:v>
      </x:c>
    </x:row>
    <x:row r="5">
      <x:c r="A5" s="18" t="n">
        <x:v>2</x:v>
      </x:c>
      <x:c r="B5" s="18" t="str">
        <x:v>Сформировать province_area_report.csv</x:v>
      </x:c>
      <x:c r="C5" s="18" t="str">
        <x:v>Таблица всех провинций и выбросов</x:v>
      </x:c>
      <x:c r="D5" s="18" t="str">
        <x:v>Критический</x:v>
      </x:c>
      <x:c r="E5" s="18" t="str">
        <x:v>Мин/медиана/макс; повторяющиеся имена; MultiPolygon</x:v>
      </x:c>
      <x:c r="F5" s="18" t="str">
        <x:v>reports/province_area_report.csv</x:v>
      </x:c>
    </x:row>
    <x:row r="6">
      <x:c r="A6" s="18" t="n">
        <x:v>3</x:v>
      </x:c>
      <x:c r="B6" s="18" t="str">
        <x:v>Завершить мировую таксономию регионов</x:v>
      </x:c>
      <x:c r="C6" s="18" t="str">
        <x:v>100% province.region_id</x:v>
      </x:c>
      <x:c r="D6" s="18" t="str">
        <x:v>Критический</x:v>
      </x:c>
      <x:c r="E6" s="18" t="str">
        <x:v>Связность, отсутствие пропусков, отсутствие политической зависимости</x:v>
      </x:c>
      <x:c r="F6" s="18" t="str">
        <x:v>regions.json; provinces.json</x:v>
      </x:c>
    </x:row>
    <x:row r="7">
      <x:c r="A7" s="18" t="n">
        <x:v>4</x:v>
      </x:c>
      <x:c r="B7" s="18" t="str">
        <x:v>Назначить профили P0–P8</x:v>
      </x:c>
      <x:c r="C7" s="18" t="str">
        <x:v>Профиль и target_area каждого региона</x:v>
      </x:c>
      <x:c r="D7" s="18" t="str">
        <x:v>Высокий</x:v>
      </x:c>
      <x:c r="E7" s="18" t="str">
        <x:v>Распределение ожидаемого числа клеток</x:v>
      </x:c>
      <x:c r="F7" s="18" t="str">
        <x:v>land_cell_generation_profiles.json</x:v>
      </x:c>
    </x:row>
    <x:row r="8">
      <x:c r="A8" s="18" t="n">
        <x:v>5</x:v>
      </x:c>
      <x:c r="B8" s="18" t="str">
        <x:v>Сделать предпроход числа клеток</x:v>
      </x:c>
      <x:c r="C8" s="18" t="str">
        <x:v>Число клеток по каждой провинции без геометрии</x:v>
      </x:c>
      <x:c r="D8" s="18" t="str">
        <x:v>Высокий</x:v>
      </x:c>
      <x:c r="E8" s="18" t="str">
        <x:v>Мировой бюджет клеток и региональные выбросы</x:v>
      </x:c>
      <x:c r="F8" s="18" t="str">
        <x:v>region_cell_rules_report.csv</x:v>
      </x:c>
    </x:row>
    <x:row r="9">
      <x:c r="A9" s="18" t="n">
        <x:v>6</x:v>
      </x:c>
      <x:c r="B9" s="18" t="str">
        <x:v>Реализовать city-first generator</x:v>
      </x:c>
      <x:c r="C9" s="18" t="str">
        <x:v>Городская клетка создаётся первой и обволакивает город</x:v>
      </x:c>
      <x:c r="D9" s="18" t="str">
        <x:v>Критический</x:v>
      </x:c>
      <x:c r="E9" s="18" t="str">
        <x:v>Город в центральной зоне; нет близкой границы</x:v>
      </x:c>
      <x:c r="F9" s="18" t="str">
        <x:v>build_land_cells.py</x:v>
      </x:c>
    </x:row>
    <x:row r="10">
      <x:c r="A10" s="18" t="n">
        <x:v>7</x:v>
      </x:c>
      <x:c r="B10" s="18" t="str">
        <x:v>Добавить географический cost field</x:v>
      </x:c>
      <x:c r="C10" s="18" t="str">
        <x:v>Границы идут по естественным линиям</x:v>
      </x:c>
      <x:c r="D10" s="18" t="str">
        <x:v>Высокий</x:v>
      </x:c>
      <x:c r="E10" s="18" t="str">
        <x:v>Полуостровы, перешейки, реки, хребты, долины</x:v>
      </x:c>
      <x:c r="F10" s="18" t="str">
        <x:v>build_land_cells.py</x:v>
      </x:c>
    </x:row>
    <x:row r="11">
      <x:c r="A11" s="18" t="n">
        <x:v>8</x:v>
      </x:c>
      <x:c r="B11" s="18" t="str">
        <x:v>Балансировать площади и форму</x:v>
      </x:c>
      <x:c r="C11" s="18" t="str">
        <x:v>Компактные клетки без щелей и хвостов</x:v>
      </x:c>
      <x:c r="D11" s="18" t="str">
        <x:v>Высокий</x:v>
      </x:c>
      <x:c r="E11" s="18" t="str">
        <x:v>Площадь 0.55–1.65 target в обычных регионах</x:v>
      </x:c>
      <x:c r="F11" s="18" t="str">
        <x:v>build_land_cells.py</x:v>
      </x:c>
    </x:row>
    <x:row r="12">
      <x:c r="A12" s="18" t="n">
        <x:v>9</x:v>
      </x:c>
      <x:c r="B12" s="18" t="str">
        <x:v>Сделать валидатор</x:v>
      </x:c>
      <x:c r="C12" s="18" t="str">
        <x:v>Автоматический контроль геометрии</x:v>
      </x:c>
      <x:c r="D12" s="18" t="str">
        <x:v>Критический</x:v>
      </x:c>
      <x:c r="E12" s="18" t="str">
        <x:v>Не менее 97% провинций без ручного override</x:v>
      </x:c>
      <x:c r="F12" s="18" t="str">
        <x:v>validate_land_cells.py</x:v>
      </x:c>
    </x:row>
    <x:row r="13">
      <x:c r="A13" s="18" t="n">
        <x:v>10</x:v>
      </x:c>
      <x:c r="B13" s="18" t="str">
        <x:v>Массовый мировой прогон</x:v>
      </x:c>
      <x:c r="C13" s="18" t="str">
        <x:v>Финальный слой клеток</x:v>
      </x:c>
      <x:c r="D13" s="18" t="str">
        <x:v>Высокий</x:v>
      </x:c>
      <x:c r="E13" s="18" t="str">
        <x:v>Статистика, карта ошибок, ручной просмотр выбросов</x:v>
      </x:c>
      <x:c r="F13" s="18" t="str">
        <x:v>map_geometry/land_cells.json</x:v>
      </x:c>
    </x:row>
    <x:row r="14">
      <x:c r="A14" s="18" t="n">
        <x:v>11</x:v>
      </x:c>
      <x:c r="B14" s="18" t="str">
        <x:v>Запечь линии и ID-карту</x:v>
      </x:c>
      <x:c r="C14" s="18" t="str">
        <x:v>Быстрый runtime без Node2D на клетку</x:v>
      </x:c>
      <x:c r="D14" s="18" t="str">
        <x:v>Средний</x:v>
      </x:c>
      <x:c r="E14" s="18" t="str">
        <x:v>Клики, швы, LOD, потоковая загрузка</x:v>
      </x:c>
      <x:c r="F14" s="18" t="str">
        <x:v>tiles_bundle; cell_id_map</x:v>
      </x:c>
    </x:row>
  </x:sheetData>
  <x:mergeCells>
    <x:mergeCell ref="A1:F1"/>
  </x:mergeCells>
  <x:pageMargins left="0.7" right="0.7" top="0.75" bottom="0.75" header="0.3" footer="0.3"/>
</x:worksheet>
</file>